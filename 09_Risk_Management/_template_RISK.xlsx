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VaR" sheetId="2" state="visible" r:id="rId4"/>
    <sheet name="Stress Scenarios" sheetId="3" state="visible" r:id="rId5"/>
    <sheet name="Sensitivity" sheetId="4" state="visible" r:id="rId6"/>
    <sheet name="Portfolio VaR (Multi-Asset)" sheetId="5" state="visible" r:id="rId7"/>
    <sheet name="Refresh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<sst xmlns="http://schemas.openxmlformats.org/spreadsheetml/2006/main" count="83" uniqueCount="70">
  <si>
    <t xml:space="preserve">[PORTFOLIO] — Risk Management Model</t>
  </si>
  <si>
    <t xml:space="preserve">Portfolio:</t>
  </si>
  <si>
    <t xml:space="preserve">[fill in]</t>
  </si>
  <si>
    <t xml:space="preserve">Base currency:</t>
  </si>
  <si>
    <t xml:space="preserve">USD</t>
  </si>
  <si>
    <t xml:space="preserve">Last refreshed:</t>
  </si>
  <si>
    <t xml:space="preserve">[date]</t>
  </si>
  <si>
    <t xml:space="preserve">Risk review cadence:</t>
  </si>
  <si>
    <t xml:space="preserve">Weekly (daily in stress periods)</t>
  </si>
  <si>
    <t xml:space="preserve">Value at Risk — Parametric (Variance-Covariance)</t>
  </si>
  <si>
    <t xml:space="preserve">Inputs</t>
  </si>
  <si>
    <t xml:space="preserve">Portfolio value ($)</t>
  </si>
  <si>
    <t xml:space="preserve">Daily volatility (sigma, %)</t>
  </si>
  <si>
    <t xml:space="preserve">Confidence level (e.g. 0.95, 0.99)</t>
  </si>
  <si>
    <t xml:space="preserve">Holding period (days)</t>
  </si>
  <si>
    <t xml:space="preserve">Outputs</t>
  </si>
  <si>
    <t xml:space="preserve">Z-score for confidence level</t>
  </si>
  <si>
    <t xml:space="preserve">1-day VaR ($)</t>
  </si>
  <si>
    <t xml:space="preserve">N-day VaR ($, scaled by sqrt(time))</t>
  </si>
  <si>
    <t xml:space="preserve">Square-root-of-time scaling assumes i.i.d. returns — a simplification, not exact for fat tails</t>
  </si>
  <si>
    <t xml:space="preserve">VaR as % of portfolio</t>
  </si>
  <si>
    <t xml:space="preserve">Expected Shortfall / CVaR (1-day, $)</t>
  </si>
  <si>
    <t xml:space="preserve">Analytic ES under normality: sigma x phi(Z) / (1-confidence). Always &gt;= VaR — it's the average loss GIVEN that VaR is breached, not just the threshold.</t>
  </si>
  <si>
    <t xml:space="preserve">Historical VaR (alternative method)</t>
  </si>
  <si>
    <t xml:space="preserve">Enter trailing daily P&amp;L observations below (min 100 recommended)</t>
  </si>
  <si>
    <t xml:space="preserve">Historical VaR = PERCENTILE of P&amp;L distribution at (1-confidence)</t>
  </si>
  <si>
    <t xml:space="preserve">Historical VaR ($)</t>
  </si>
  <si>
    <t xml:space="preserve">Historical CVaR / ES ($, avg of losses beyond the VaR percentile)</t>
  </si>
  <si>
    <t xml:space="preserve">Daily P&amp;L ($)</t>
  </si>
  <si>
    <t xml:space="preserve">Stress Scenarios</t>
  </si>
  <si>
    <t xml:space="preserve">Scenario</t>
  </si>
  <si>
    <t xml:space="preserve">Shock applied</t>
  </si>
  <si>
    <t xml:space="preserve">Portfolio impact ($)</t>
  </si>
  <si>
    <t xml:space="preserve">Notes</t>
  </si>
  <si>
    <t xml:space="preserve">2008-style equity crash</t>
  </si>
  <si>
    <t xml:space="preserve">[calibrate shock to actual portfolio beta/sensitivity]</t>
  </si>
  <si>
    <t xml:space="preserve">Rate shock +200bp</t>
  </si>
  <si>
    <t xml:space="preserve">Credit spread widening +300bp</t>
  </si>
  <si>
    <t xml:space="preserve">FX shock (base currency -15%)</t>
  </si>
  <si>
    <t xml:space="preserve">Liquidity event (haircut on illiquids)</t>
  </si>
  <si>
    <t xml:space="preserve">Sensitivity — VaR by Vol &amp; Confidence</t>
  </si>
  <si>
    <t xml:space="preserve">Daily vol \ Confidence</t>
  </si>
  <si>
    <t xml:space="preserve">Portfolio VaR — Multi-Asset with Correlation</t>
  </si>
  <si>
    <t xml:space="preserve">Confidence level</t>
  </si>
  <si>
    <t xml:space="preserve">Z-score</t>
  </si>
  <si>
    <t xml:space="preserve">Positions</t>
  </si>
  <si>
    <t xml:space="preserve">Position</t>
  </si>
  <si>
    <t xml:space="preserve">$ Exposure</t>
  </si>
  <si>
    <t xml:space="preserve">Daily Vol %</t>
  </si>
  <si>
    <t xml:space="preserve">Standalone 1-day VaR</t>
  </si>
  <si>
    <t xml:space="preserve">Position A</t>
  </si>
  <si>
    <t xml:space="preserve">Position B</t>
  </si>
  <si>
    <t xml:space="preserve">Position C</t>
  </si>
  <si>
    <t xml:space="preserve">Correlation matrix (fill upper triangle; mirrored below)</t>
  </si>
  <si>
    <t xml:space="preserve">Portfolio Aggregation</t>
  </si>
  <si>
    <t xml:space="preserve">Portfolio variance ($^2)</t>
  </si>
  <si>
    <t xml:space="preserve">Portfolio standard deviation ($)</t>
  </si>
  <si>
    <t xml:space="preserve">Portfolio 1-day VaR</t>
  </si>
  <si>
    <t xml:space="preserve">Undiversified VaR (sum of standalone position VaRs)</t>
  </si>
  <si>
    <t xml:space="preserve">Diversification benefit</t>
  </si>
  <si>
    <t xml:space="preserve">Always &gt;= 0 unless correlations are all exactly 1 -- this is the entire point of not underwriting each position in isolation</t>
  </si>
  <si>
    <t xml:space="preserve">Component VaR (marginal contribution to portfolio risk)</t>
  </si>
  <si>
    <t xml:space="preserve">Sum of component VaRs (check — must equal Portfolio 1-day VaR exactly)</t>
  </si>
  <si>
    <t xml:space="preserve">Euler's homogeneity theorem: for a variance-based risk measure, marginal contributions always sum exactly to the total -- a built-in formula check, not a coincidence</t>
  </si>
  <si>
    <t xml:space="preserve">Refresh Log</t>
  </si>
  <si>
    <t xml:space="preserve">Date</t>
  </si>
  <si>
    <t xml:space="preserve">Trigger</t>
  </si>
  <si>
    <t xml:space="preserve">What changed</t>
  </si>
  <si>
    <t xml:space="preserve">Reviewer notes</t>
  </si>
  <si>
    <t xml:space="preserve">Next check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</si>
</sst>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0%;\(0.00%\);\-"/>
    <numFmt numFmtId="167" formatCode="0.0%;\(0.0%\);\-"/>
    <numFmt numFmtId="168" formatCode="#,##0;\(#,##0\);\-"/>
    <numFmt numFmtId="169" formatCode="0.0000"/>
    <numFmt numFmtId="170" formatCode="0.00"/>
    <numFmt numFmtId="171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7" hidden="false" customHeight="false" outlineLevel="0" collapsed="false">
      <c r="B2" s="2" t="s">
        <v>0</v>
      </c>
    </row>
    <row r="4" customFormat="false" ht="15" hidden="false" customHeight="false" outlineLevel="0" collapsed="false">
      <c r="B4" s="3" t="s">
        <v>1</v>
      </c>
      <c r="C4" s="4" t="s">
        <v>2</v>
      </c>
    </row>
    <row r="5" customFormat="false" ht="15" hidden="false" customHeight="false" outlineLevel="0" collapsed="false">
      <c r="B5" s="3" t="s">
        <v>3</v>
      </c>
      <c r="C5" s="4" t="s">
        <v>4</v>
      </c>
    </row>
    <row r="6" customFormat="false" ht="15" hidden="false" customHeight="false" outlineLevel="0" collapsed="false">
      <c r="B6" s="3" t="s">
        <v>5</v>
      </c>
      <c r="C6" s="4" t="s">
        <v>6</v>
      </c>
    </row>
    <row r="7" customFormat="false" ht="15" hidden="false" customHeight="false" outlineLevel="0" collapsed="false">
      <c r="B7" s="3" t="s">
        <v>7</v>
      </c>
      <c r="C7" s="4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40"/>
  </cols>
  <sheetData>
    <row r="2" customFormat="false" ht="19.7" hidden="false" customHeight="false" outlineLevel="0" collapsed="false">
      <c r="B2" s="2" t="s">
        <v>9</v>
      </c>
    </row>
    <row r="4" customFormat="false" ht="15" hidden="false" customHeight="false" outlineLevel="0" collapsed="false">
      <c r="B4" s="5" t="s">
        <v>10</v>
      </c>
    </row>
    <row r="5" customFormat="false" ht="15" hidden="false" customHeight="false" outlineLevel="0" collapsed="false">
      <c r="B5" s="6" t="s">
        <v>11</v>
      </c>
      <c r="C5" s="7" t="n">
        <v>0</v>
      </c>
    </row>
    <row r="6" customFormat="false" ht="15" hidden="false" customHeight="false" outlineLevel="0" collapsed="false">
      <c r="B6" s="6" t="s">
        <v>12</v>
      </c>
      <c r="C6" s="8" t="n">
        <v>0.015</v>
      </c>
    </row>
    <row r="7" customFormat="false" ht="15" hidden="false" customHeight="false" outlineLevel="0" collapsed="false">
      <c r="B7" s="6" t="s">
        <v>13</v>
      </c>
      <c r="C7" s="9" t="n">
        <v>0.95</v>
      </c>
    </row>
    <row r="8" customFormat="false" ht="15" hidden="false" customHeight="false" outlineLevel="0" collapsed="false">
      <c r="B8" s="6" t="s">
        <v>14</v>
      </c>
      <c r="C8" s="10" t="n">
        <v>1</v>
      </c>
    </row>
    <row r="10" customFormat="false" ht="15" hidden="false" customHeight="false" outlineLevel="0" collapsed="false">
      <c r="B10" s="5" t="s">
        <v>15</v>
      </c>
    </row>
    <row r="11" customFormat="false" ht="15" hidden="false" customHeight="false" outlineLevel="0" collapsed="false">
      <c r="B11" s="1" t="s">
        <v>16</v>
      </c>
      <c r="C11" s="11" t="n">
        <f aca="false">NORMSINV(C7)</f>
        <v>1.64485362695147</v>
      </c>
    </row>
    <row r="12" customFormat="false" ht="15" hidden="false" customHeight="false" outlineLevel="0" collapsed="false">
      <c r="B12" s="1" t="s">
        <v>17</v>
      </c>
      <c r="C12" s="12" t="n">
        <f aca="false">C5*C6*C11</f>
        <v>0</v>
      </c>
    </row>
    <row r="13" customFormat="false" ht="15" hidden="false" customHeight="false" outlineLevel="0" collapsed="false">
      <c r="B13" s="1" t="s">
        <v>18</v>
      </c>
      <c r="C13" s="13" t="n">
        <f aca="false">C12*SQRT(C8)</f>
        <v>0</v>
      </c>
      <c r="D13" s="14" t="s">
        <v>19</v>
      </c>
    </row>
    <row r="14" customFormat="false" ht="15" hidden="false" customHeight="false" outlineLevel="0" collapsed="false">
      <c r="B14" s="1" t="s">
        <v>20</v>
      </c>
      <c r="C14" s="15" t="str">
        <f aca="false">IFERROR(C13/C5,"-")</f>
        <v>-</v>
      </c>
    </row>
    <row r="15" customFormat="false" ht="15" hidden="false" customHeight="false" outlineLevel="0" collapsed="false">
      <c r="B15" s="1" t="s">
        <v>21</v>
      </c>
      <c r="C15" s="13" t="n">
        <f aca="false">IFERROR(C5*C6*NORMDIST(C11,0,1,FALSE())/(1-C7),"-")</f>
        <v>0</v>
      </c>
      <c r="D15" s="14" t="s">
        <v>22</v>
      </c>
    </row>
    <row r="18" customFormat="false" ht="15" hidden="false" customHeight="false" outlineLevel="0" collapsed="false">
      <c r="B18" s="5" t="s">
        <v>23</v>
      </c>
    </row>
    <row r="19" customFormat="false" ht="15" hidden="false" customHeight="false" outlineLevel="0" collapsed="false">
      <c r="B19" s="14" t="s">
        <v>24</v>
      </c>
    </row>
    <row r="20" customFormat="false" ht="15" hidden="false" customHeight="false" outlineLevel="0" collapsed="false">
      <c r="B20" s="14" t="s">
        <v>25</v>
      </c>
    </row>
    <row r="21" customFormat="false" ht="15" hidden="false" customHeight="false" outlineLevel="0" collapsed="false">
      <c r="B21" s="1" t="s">
        <v>26</v>
      </c>
      <c r="C21" s="13" t="str">
        <f aca="false">IFERROR(-PERCENTILE(E23:E122,1-C7),"-")</f>
        <v>-</v>
      </c>
    </row>
    <row r="22" customFormat="false" ht="15" hidden="false" customHeight="false" outlineLevel="0" collapsed="false">
      <c r="B22" s="1" t="s">
        <v>27</v>
      </c>
      <c r="C22" s="12" t="str">
        <f aca="false">IFERROR(-AVERAGEIF(E23:E122,"&lt;="&amp;PERCENTILE(E23:E122,1-C7)),"-")</f>
        <v>-</v>
      </c>
      <c r="E22" s="5" t="s">
        <v>28</v>
      </c>
    </row>
    <row r="23" customFormat="false" ht="15" hidden="false" customHeight="false" outlineLevel="0" collapsed="false">
      <c r="E23" s="16"/>
    </row>
    <row r="24" customFormat="false" ht="15" hidden="false" customHeight="false" outlineLevel="0" collapsed="false">
      <c r="E24" s="16"/>
    </row>
    <row r="25" customFormat="false" ht="15" hidden="false" customHeight="false" outlineLevel="0" collapsed="false">
      <c r="E25" s="16"/>
    </row>
    <row r="26" customFormat="false" ht="15" hidden="false" customHeight="false" outlineLevel="0" collapsed="false">
      <c r="E26" s="16"/>
    </row>
    <row r="27" customFormat="false" ht="15" hidden="false" customHeight="false" outlineLevel="0" collapsed="false">
      <c r="E27" s="16"/>
    </row>
    <row r="28" customFormat="false" ht="15" hidden="false" customHeight="false" outlineLevel="0" collapsed="false">
      <c r="E28" s="16"/>
    </row>
    <row r="29" customFormat="false" ht="15" hidden="false" customHeight="false" outlineLevel="0" collapsed="false">
      <c r="E29" s="16"/>
    </row>
    <row r="30" customFormat="false" ht="15" hidden="false" customHeight="false" outlineLevel="0" collapsed="false">
      <c r="E30" s="16"/>
    </row>
    <row r="31" customFormat="false" ht="15" hidden="false" customHeight="false" outlineLevel="0" collapsed="false">
      <c r="E31" s="16"/>
    </row>
    <row r="32" customFormat="false" ht="15" hidden="false" customHeight="false" outlineLevel="0" collapsed="false">
      <c r="E32" s="16"/>
    </row>
    <row r="33" customFormat="false" ht="15" hidden="false" customHeight="false" outlineLevel="0" collapsed="false">
      <c r="E33" s="16"/>
    </row>
    <row r="34" customFormat="false" ht="15" hidden="false" customHeight="false" outlineLevel="0" collapsed="false">
      <c r="E34" s="16"/>
    </row>
    <row r="35" customFormat="false" ht="15" hidden="false" customHeight="false" outlineLevel="0" collapsed="false">
      <c r="E35" s="16"/>
    </row>
    <row r="36" customFormat="false" ht="15" hidden="false" customHeight="false" outlineLevel="0" collapsed="false">
      <c r="E36" s="16"/>
    </row>
    <row r="37" customFormat="false" ht="15" hidden="false" customHeight="false" outlineLevel="0" collapsed="false">
      <c r="E37" s="16"/>
    </row>
    <row r="38" customFormat="false" ht="15" hidden="false" customHeight="false" outlineLevel="0" collapsed="false">
      <c r="E38" s="16"/>
    </row>
    <row r="39" customFormat="false" ht="15" hidden="false" customHeight="false" outlineLevel="0" collapsed="false">
      <c r="E39" s="16"/>
    </row>
    <row r="40" customFormat="false" ht="15" hidden="false" customHeight="false" outlineLevel="0" collapsed="false">
      <c r="E40" s="16"/>
    </row>
    <row r="41" customFormat="false" ht="15" hidden="false" customHeight="false" outlineLevel="0" collapsed="false">
      <c r="E41" s="16"/>
    </row>
    <row r="42" customFormat="false" ht="15" hidden="false" customHeight="false" outlineLevel="0" collapsed="false">
      <c r="E42" s="16"/>
    </row>
    <row r="43" customFormat="false" ht="15" hidden="false" customHeight="false" outlineLevel="0" collapsed="false">
      <c r="E43" s="16"/>
    </row>
    <row r="44" customFormat="false" ht="15" hidden="false" customHeight="false" outlineLevel="0" collapsed="false">
      <c r="E44" s="16"/>
    </row>
    <row r="45" customFormat="false" ht="15" hidden="false" customHeight="false" outlineLevel="0" collapsed="false">
      <c r="E45" s="16"/>
    </row>
    <row r="46" customFormat="false" ht="15" hidden="false" customHeight="false" outlineLevel="0" collapsed="false">
      <c r="E46" s="16"/>
    </row>
    <row r="47" customFormat="false" ht="15" hidden="false" customHeight="false" outlineLevel="0" collapsed="false">
      <c r="E47" s="16"/>
    </row>
    <row r="48" customFormat="false" ht="15" hidden="false" customHeight="false" outlineLevel="0" collapsed="false">
      <c r="E48" s="16"/>
    </row>
    <row r="49" customFormat="false" ht="15" hidden="false" customHeight="false" outlineLevel="0" collapsed="false">
      <c r="E49" s="16"/>
    </row>
    <row r="50" customFormat="false" ht="15" hidden="false" customHeight="false" outlineLevel="0" collapsed="false">
      <c r="E50" s="16"/>
    </row>
    <row r="51" customFormat="false" ht="15" hidden="false" customHeight="false" outlineLevel="0" collapsed="false">
      <c r="E51" s="16"/>
    </row>
    <row r="52" customFormat="false" ht="15" hidden="false" customHeight="false" outlineLevel="0" collapsed="false">
      <c r="E52" s="16"/>
    </row>
    <row r="53" customFormat="false" ht="15" hidden="false" customHeight="false" outlineLevel="0" collapsed="false">
      <c r="E53" s="16"/>
    </row>
    <row r="54" customFormat="false" ht="15" hidden="false" customHeight="false" outlineLevel="0" collapsed="false">
      <c r="E54" s="16"/>
    </row>
    <row r="55" customFormat="false" ht="15" hidden="false" customHeight="false" outlineLevel="0" collapsed="false">
      <c r="E55" s="16"/>
    </row>
    <row r="56" customFormat="false" ht="15" hidden="false" customHeight="false" outlineLevel="0" collapsed="false">
      <c r="E56" s="16"/>
    </row>
    <row r="57" customFormat="false" ht="15" hidden="false" customHeight="false" outlineLevel="0" collapsed="false">
      <c r="E57" s="16"/>
    </row>
    <row r="58" customFormat="false" ht="15" hidden="false" customHeight="false" outlineLevel="0" collapsed="false">
      <c r="E58" s="16"/>
    </row>
    <row r="59" customFormat="false" ht="15" hidden="false" customHeight="false" outlineLevel="0" collapsed="false">
      <c r="E59" s="16"/>
    </row>
    <row r="60" customFormat="false" ht="15" hidden="false" customHeight="false" outlineLevel="0" collapsed="false">
      <c r="E60" s="16"/>
    </row>
    <row r="61" customFormat="false" ht="15" hidden="false" customHeight="false" outlineLevel="0" collapsed="false">
      <c r="E61" s="16"/>
    </row>
    <row r="62" customFormat="false" ht="15" hidden="false" customHeight="false" outlineLevel="0" collapsed="false">
      <c r="E62" s="16"/>
    </row>
    <row r="63" customFormat="false" ht="15" hidden="false" customHeight="false" outlineLevel="0" collapsed="false">
      <c r="E63" s="16"/>
    </row>
    <row r="64" customFormat="false" ht="15" hidden="false" customHeight="false" outlineLevel="0" collapsed="false">
      <c r="E64" s="16"/>
    </row>
    <row r="65" customFormat="false" ht="15" hidden="false" customHeight="false" outlineLevel="0" collapsed="false">
      <c r="E65" s="16"/>
    </row>
    <row r="66" customFormat="false" ht="15" hidden="false" customHeight="false" outlineLevel="0" collapsed="false">
      <c r="E66" s="16"/>
    </row>
    <row r="67" customFormat="false" ht="15" hidden="false" customHeight="false" outlineLevel="0" collapsed="false">
      <c r="E67" s="16"/>
    </row>
    <row r="68" customFormat="false" ht="15" hidden="false" customHeight="false" outlineLevel="0" collapsed="false">
      <c r="E68" s="16"/>
    </row>
    <row r="69" customFormat="false" ht="15" hidden="false" customHeight="false" outlineLevel="0" collapsed="false">
      <c r="E69" s="16"/>
    </row>
    <row r="70" customFormat="false" ht="15" hidden="false" customHeight="false" outlineLevel="0" collapsed="false">
      <c r="E70" s="16"/>
    </row>
    <row r="71" customFormat="false" ht="15" hidden="false" customHeight="false" outlineLevel="0" collapsed="false">
      <c r="E71" s="16"/>
    </row>
    <row r="72" customFormat="false" ht="15" hidden="false" customHeight="false" outlineLevel="0" collapsed="false">
      <c r="E72" s="16"/>
    </row>
    <row r="73" customFormat="false" ht="15" hidden="false" customHeight="false" outlineLevel="0" collapsed="false">
      <c r="E73" s="16"/>
    </row>
    <row r="74" customFormat="false" ht="15" hidden="false" customHeight="false" outlineLevel="0" collapsed="false">
      <c r="E74" s="16"/>
    </row>
    <row r="75" customFormat="false" ht="15" hidden="false" customHeight="false" outlineLevel="0" collapsed="false">
      <c r="E75" s="16"/>
    </row>
    <row r="76" customFormat="false" ht="15" hidden="false" customHeight="false" outlineLevel="0" collapsed="false">
      <c r="E76" s="16"/>
    </row>
    <row r="77" customFormat="false" ht="15" hidden="false" customHeight="false" outlineLevel="0" collapsed="false">
      <c r="E77" s="16"/>
    </row>
    <row r="78" customFormat="false" ht="15" hidden="false" customHeight="false" outlineLevel="0" collapsed="false">
      <c r="E78" s="16"/>
    </row>
    <row r="79" customFormat="false" ht="15" hidden="false" customHeight="false" outlineLevel="0" collapsed="false">
      <c r="E79" s="16"/>
    </row>
    <row r="80" customFormat="false" ht="15" hidden="false" customHeight="false" outlineLevel="0" collapsed="false">
      <c r="E80" s="16"/>
    </row>
    <row r="81" customFormat="false" ht="15" hidden="false" customHeight="false" outlineLevel="0" collapsed="false">
      <c r="E81" s="16"/>
    </row>
    <row r="82" customFormat="false" ht="15" hidden="false" customHeight="false" outlineLevel="0" collapsed="false">
      <c r="E82" s="16"/>
    </row>
    <row r="83" customFormat="false" ht="15" hidden="false" customHeight="false" outlineLevel="0" collapsed="false">
      <c r="E83" s="16"/>
    </row>
    <row r="84" customFormat="false" ht="15" hidden="false" customHeight="false" outlineLevel="0" collapsed="false">
      <c r="E84" s="16"/>
    </row>
    <row r="85" customFormat="false" ht="15" hidden="false" customHeight="false" outlineLevel="0" collapsed="false">
      <c r="E85" s="16"/>
    </row>
    <row r="86" customFormat="false" ht="15" hidden="false" customHeight="false" outlineLevel="0" collapsed="false">
      <c r="E86" s="16"/>
    </row>
    <row r="87" customFormat="false" ht="15" hidden="false" customHeight="false" outlineLevel="0" collapsed="false">
      <c r="E87" s="16"/>
    </row>
    <row r="88" customFormat="false" ht="15" hidden="false" customHeight="false" outlineLevel="0" collapsed="false">
      <c r="E88" s="16"/>
    </row>
    <row r="89" customFormat="false" ht="15" hidden="false" customHeight="false" outlineLevel="0" collapsed="false">
      <c r="E89" s="16"/>
    </row>
    <row r="90" customFormat="false" ht="15" hidden="false" customHeight="false" outlineLevel="0" collapsed="false">
      <c r="E90" s="16"/>
    </row>
    <row r="91" customFormat="false" ht="15" hidden="false" customHeight="false" outlineLevel="0" collapsed="false">
      <c r="E91" s="16"/>
    </row>
    <row r="92" customFormat="false" ht="15" hidden="false" customHeight="false" outlineLevel="0" collapsed="false">
      <c r="E92" s="16"/>
    </row>
    <row r="93" customFormat="false" ht="15" hidden="false" customHeight="false" outlineLevel="0" collapsed="false">
      <c r="E93" s="16"/>
    </row>
    <row r="94" customFormat="false" ht="15" hidden="false" customHeight="false" outlineLevel="0" collapsed="false">
      <c r="E94" s="16"/>
    </row>
    <row r="95" customFormat="false" ht="15" hidden="false" customHeight="false" outlineLevel="0" collapsed="false">
      <c r="E95" s="16"/>
    </row>
    <row r="96" customFormat="false" ht="15" hidden="false" customHeight="false" outlineLevel="0" collapsed="false">
      <c r="E96" s="16"/>
    </row>
    <row r="97" customFormat="false" ht="15" hidden="false" customHeight="false" outlineLevel="0" collapsed="false">
      <c r="E97" s="16"/>
    </row>
    <row r="98" customFormat="false" ht="15" hidden="false" customHeight="false" outlineLevel="0" collapsed="false">
      <c r="E98" s="16"/>
    </row>
    <row r="99" customFormat="false" ht="15" hidden="false" customHeight="false" outlineLevel="0" collapsed="false">
      <c r="E99" s="16"/>
    </row>
    <row r="100" customFormat="false" ht="15" hidden="false" customHeight="false" outlineLevel="0" collapsed="false">
      <c r="E100" s="16"/>
    </row>
    <row r="101" customFormat="false" ht="15" hidden="false" customHeight="false" outlineLevel="0" collapsed="false">
      <c r="E101" s="16"/>
    </row>
    <row r="102" customFormat="false" ht="15" hidden="false" customHeight="false" outlineLevel="0" collapsed="false">
      <c r="E102" s="16"/>
    </row>
    <row r="103" customFormat="false" ht="15" hidden="false" customHeight="false" outlineLevel="0" collapsed="false">
      <c r="E103" s="16"/>
    </row>
    <row r="104" customFormat="false" ht="15" hidden="false" customHeight="false" outlineLevel="0" collapsed="false">
      <c r="E104" s="16"/>
    </row>
    <row r="105" customFormat="false" ht="15" hidden="false" customHeight="false" outlineLevel="0" collapsed="false">
      <c r="E105" s="16"/>
    </row>
    <row r="106" customFormat="false" ht="15" hidden="false" customHeight="false" outlineLevel="0" collapsed="false">
      <c r="E106" s="16"/>
    </row>
    <row r="107" customFormat="false" ht="15" hidden="false" customHeight="false" outlineLevel="0" collapsed="false">
      <c r="E107" s="16"/>
    </row>
    <row r="108" customFormat="false" ht="15" hidden="false" customHeight="false" outlineLevel="0" collapsed="false">
      <c r="E108" s="16"/>
    </row>
    <row r="109" customFormat="false" ht="15" hidden="false" customHeight="false" outlineLevel="0" collapsed="false">
      <c r="E109" s="16"/>
    </row>
    <row r="110" customFormat="false" ht="15" hidden="false" customHeight="false" outlineLevel="0" collapsed="false">
      <c r="E110" s="16"/>
    </row>
    <row r="111" customFormat="false" ht="15" hidden="false" customHeight="false" outlineLevel="0" collapsed="false">
      <c r="E111" s="16"/>
    </row>
    <row r="112" customFormat="false" ht="15" hidden="false" customHeight="false" outlineLevel="0" collapsed="false">
      <c r="E112" s="16"/>
    </row>
    <row r="113" customFormat="false" ht="15" hidden="false" customHeight="false" outlineLevel="0" collapsed="false">
      <c r="E113" s="16"/>
    </row>
    <row r="114" customFormat="false" ht="15" hidden="false" customHeight="false" outlineLevel="0" collapsed="false">
      <c r="E114" s="16"/>
    </row>
    <row r="115" customFormat="false" ht="15" hidden="false" customHeight="false" outlineLevel="0" collapsed="false">
      <c r="E115" s="16"/>
    </row>
    <row r="116" customFormat="false" ht="15" hidden="false" customHeight="false" outlineLevel="0" collapsed="false">
      <c r="E116" s="16"/>
    </row>
    <row r="117" customFormat="false" ht="15" hidden="false" customHeight="false" outlineLevel="0" collapsed="false">
      <c r="E117" s="16"/>
    </row>
    <row r="118" customFormat="false" ht="15" hidden="false" customHeight="false" outlineLevel="0" collapsed="false">
      <c r="E118" s="16"/>
    </row>
    <row r="119" customFormat="false" ht="15" hidden="false" customHeight="false" outlineLevel="0" collapsed="false">
      <c r="E119" s="16"/>
    </row>
    <row r="120" customFormat="false" ht="15" hidden="false" customHeight="false" outlineLevel="0" collapsed="false">
      <c r="E120" s="16"/>
    </row>
    <row r="121" customFormat="false" ht="15" hidden="false" customHeight="false" outlineLevel="0" collapsed="false">
      <c r="E121" s="16"/>
    </row>
    <row r="122" customFormat="false" ht="15" hidden="false" customHeight="false" outlineLevel="0" collapsed="false">
      <c r="E122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40"/>
  </cols>
  <sheetData>
    <row r="2" customFormat="false" ht="19.7" hidden="false" customHeight="false" outlineLevel="0" collapsed="false">
      <c r="B2" s="2" t="s">
        <v>29</v>
      </c>
    </row>
    <row r="4" customFormat="false" ht="15" hidden="false" customHeight="false" outlineLevel="0" collapsed="false">
      <c r="A4" s="17"/>
      <c r="B4" s="17" t="s">
        <v>30</v>
      </c>
      <c r="C4" s="17" t="s">
        <v>31</v>
      </c>
      <c r="D4" s="17" t="s">
        <v>32</v>
      </c>
      <c r="E4" s="18" t="s">
        <v>33</v>
      </c>
    </row>
    <row r="5" customFormat="false" ht="15" hidden="false" customHeight="false" outlineLevel="0" collapsed="false">
      <c r="B5" s="6" t="s">
        <v>34</v>
      </c>
      <c r="C5" s="19" t="n">
        <v>-0.4</v>
      </c>
      <c r="D5" s="12" t="n">
        <f aca="false">VaR!$C$5*C5</f>
        <v>-0</v>
      </c>
      <c r="E5" s="14" t="s">
        <v>35</v>
      </c>
    </row>
    <row r="6" customFormat="false" ht="15" hidden="false" customHeight="false" outlineLevel="0" collapsed="false">
      <c r="B6" s="6" t="s">
        <v>36</v>
      </c>
      <c r="C6" s="19" t="n">
        <v>-0.1</v>
      </c>
      <c r="D6" s="12" t="n">
        <f aca="false">VaR!$C$5*C6</f>
        <v>-0</v>
      </c>
      <c r="E6" s="14" t="s">
        <v>35</v>
      </c>
    </row>
    <row r="7" customFormat="false" ht="15" hidden="false" customHeight="false" outlineLevel="0" collapsed="false">
      <c r="B7" s="6" t="s">
        <v>37</v>
      </c>
      <c r="C7" s="19" t="n">
        <v>-0.08</v>
      </c>
      <c r="D7" s="12" t="n">
        <f aca="false">VaR!$C$5*C7</f>
        <v>-0</v>
      </c>
      <c r="E7" s="14" t="s">
        <v>35</v>
      </c>
    </row>
    <row r="8" customFormat="false" ht="15" hidden="false" customHeight="false" outlineLevel="0" collapsed="false">
      <c r="B8" s="6" t="s">
        <v>38</v>
      </c>
      <c r="C8" s="19" t="n">
        <v>-0.15</v>
      </c>
      <c r="D8" s="12" t="n">
        <f aca="false">VaR!$C$5*C8</f>
        <v>-0</v>
      </c>
      <c r="E8" s="14" t="s">
        <v>35</v>
      </c>
    </row>
    <row r="9" customFormat="false" ht="15" hidden="false" customHeight="false" outlineLevel="0" collapsed="false">
      <c r="B9" s="6" t="s">
        <v>39</v>
      </c>
      <c r="C9" s="19" t="n">
        <v>-0.25</v>
      </c>
      <c r="D9" s="12" t="n">
        <f aca="false">VaR!$C$5*C9</f>
        <v>-0</v>
      </c>
      <c r="E9" s="1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7" min="3" style="1" width="12"/>
  </cols>
  <sheetData>
    <row r="2" customFormat="false" ht="19.7" hidden="false" customHeight="false" outlineLevel="0" collapsed="false">
      <c r="B2" s="2" t="s">
        <v>40</v>
      </c>
    </row>
    <row r="4" customFormat="false" ht="15" hidden="false" customHeight="false" outlineLevel="0" collapsed="false">
      <c r="B4" s="5" t="s">
        <v>41</v>
      </c>
      <c r="C4" s="20" t="n">
        <v>0.9</v>
      </c>
      <c r="D4" s="20" t="n">
        <v>0.95</v>
      </c>
      <c r="E4" s="20" t="n">
        <v>0.975</v>
      </c>
      <c r="F4" s="20" t="n">
        <v>0.99</v>
      </c>
      <c r="G4" s="20" t="n">
        <v>0.995</v>
      </c>
    </row>
    <row r="5" customFormat="false" ht="15" hidden="false" customHeight="false" outlineLevel="0" collapsed="false">
      <c r="B5" s="21" t="n">
        <v>0.01</v>
      </c>
      <c r="C5" s="12" t="n">
        <f aca="false">VaR!$C$5*B5*NORMSINV(C4)</f>
        <v>0</v>
      </c>
      <c r="D5" s="12" t="n">
        <f aca="false">VaR!$C$5*B5*NORMSINV(D4)</f>
        <v>0</v>
      </c>
      <c r="E5" s="12" t="n">
        <f aca="false">VaR!$C$5*B5*NORMSINV(E4)</f>
        <v>0</v>
      </c>
      <c r="F5" s="12" t="n">
        <f aca="false">VaR!$C$5*B5*NORMSINV(F4)</f>
        <v>0</v>
      </c>
      <c r="G5" s="12" t="n">
        <f aca="false">VaR!$C$5*B5*NORMSINV(G4)</f>
        <v>0</v>
      </c>
    </row>
    <row r="6" customFormat="false" ht="15" hidden="false" customHeight="false" outlineLevel="0" collapsed="false">
      <c r="B6" s="21" t="n">
        <v>0.015</v>
      </c>
      <c r="C6" s="12" t="n">
        <f aca="false">VaR!$C$5*B6*NORMSINV(C4)</f>
        <v>0</v>
      </c>
      <c r="D6" s="12" t="n">
        <f aca="false">VaR!$C$5*B6*NORMSINV(D4)</f>
        <v>0</v>
      </c>
      <c r="E6" s="12" t="n">
        <f aca="false">VaR!$C$5*B6*NORMSINV(E4)</f>
        <v>0</v>
      </c>
      <c r="F6" s="12" t="n">
        <f aca="false">VaR!$C$5*B6*NORMSINV(F4)</f>
        <v>0</v>
      </c>
      <c r="G6" s="12" t="n">
        <f aca="false">VaR!$C$5*B6*NORMSINV(G4)</f>
        <v>0</v>
      </c>
    </row>
    <row r="7" customFormat="false" ht="15" hidden="false" customHeight="false" outlineLevel="0" collapsed="false">
      <c r="B7" s="21" t="n">
        <v>0.02</v>
      </c>
      <c r="C7" s="12" t="n">
        <f aca="false">VaR!$C$5*B7*NORMSINV(C4)</f>
        <v>0</v>
      </c>
      <c r="D7" s="12" t="n">
        <f aca="false">VaR!$C$5*B7*NORMSINV(D4)</f>
        <v>0</v>
      </c>
      <c r="E7" s="12" t="n">
        <f aca="false">VaR!$C$5*B7*NORMSINV(E4)</f>
        <v>0</v>
      </c>
      <c r="F7" s="12" t="n">
        <f aca="false">VaR!$C$5*B7*NORMSINV(F4)</f>
        <v>0</v>
      </c>
      <c r="G7" s="12" t="n">
        <f aca="false">VaR!$C$5*B7*NORMSINV(G4)</f>
        <v>0</v>
      </c>
    </row>
    <row r="8" customFormat="false" ht="15" hidden="false" customHeight="false" outlineLevel="0" collapsed="false">
      <c r="B8" s="21" t="n">
        <v>0.025</v>
      </c>
      <c r="C8" s="12" t="n">
        <f aca="false">VaR!$C$5*B8*NORMSINV(C4)</f>
        <v>0</v>
      </c>
      <c r="D8" s="12" t="n">
        <f aca="false">VaR!$C$5*B8*NORMSINV(D4)</f>
        <v>0</v>
      </c>
      <c r="E8" s="12" t="n">
        <f aca="false">VaR!$C$5*B8*NORMSINV(E4)</f>
        <v>0</v>
      </c>
      <c r="F8" s="12" t="n">
        <f aca="false">VaR!$C$5*B8*NORMSINV(F4)</f>
        <v>0</v>
      </c>
      <c r="G8" s="12" t="n">
        <f aca="false">VaR!$C$5*B8*NORMSINV(G4)</f>
        <v>0</v>
      </c>
    </row>
    <row r="9" customFormat="false" ht="15" hidden="false" customHeight="false" outlineLevel="0" collapsed="false">
      <c r="B9" s="21" t="n">
        <v>0.03</v>
      </c>
      <c r="C9" s="12" t="n">
        <f aca="false">VaR!$C$5*B9*NORMSINV(C4)</f>
        <v>0</v>
      </c>
      <c r="D9" s="12" t="n">
        <f aca="false">VaR!$C$5*B9*NORMSINV(D4)</f>
        <v>0</v>
      </c>
      <c r="E9" s="12" t="n">
        <f aca="false">VaR!$C$5*B9*NORMSINV(E4)</f>
        <v>0</v>
      </c>
      <c r="F9" s="12" t="n">
        <f aca="false">VaR!$C$5*B9*NORMSINV(F4)</f>
        <v>0</v>
      </c>
      <c r="G9" s="12" t="n">
        <f aca="false">VaR!$C$5*B9*NORMSINV(G4)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5" min="3" style="1" width="16"/>
    <col collapsed="false" customWidth="true" hidden="false" outlineLevel="0" max="6" min="6" style="1" width="40"/>
  </cols>
  <sheetData>
    <row r="2" customFormat="false" ht="19.7" hidden="false" customHeight="false" outlineLevel="0" collapsed="false">
      <c r="B2" s="2" t="s">
        <v>42</v>
      </c>
    </row>
    <row r="4" customFormat="false" ht="15" hidden="false" customHeight="false" outlineLevel="0" collapsed="false">
      <c r="B4" s="1" t="s">
        <v>43</v>
      </c>
      <c r="C4" s="9" t="n">
        <v>0.95</v>
      </c>
    </row>
    <row r="5" customFormat="false" ht="15" hidden="false" customHeight="false" outlineLevel="0" collapsed="false">
      <c r="B5" s="1" t="s">
        <v>44</v>
      </c>
      <c r="C5" s="11" t="n">
        <f aca="false">NORMSINV(C4)</f>
        <v>1.64485362695147</v>
      </c>
    </row>
    <row r="7" customFormat="false" ht="15" hidden="false" customHeight="false" outlineLevel="0" collapsed="false">
      <c r="B7" s="5" t="s">
        <v>45</v>
      </c>
    </row>
    <row r="8" customFormat="false" ht="15" hidden="false" customHeight="false" outlineLevel="0" collapsed="false">
      <c r="B8" s="17" t="s">
        <v>46</v>
      </c>
      <c r="C8" s="17" t="s">
        <v>47</v>
      </c>
      <c r="D8" s="17" t="s">
        <v>48</v>
      </c>
      <c r="E8" s="18" t="s">
        <v>49</v>
      </c>
    </row>
    <row r="9" customFormat="false" ht="15" hidden="false" customHeight="false" outlineLevel="0" collapsed="false">
      <c r="B9" s="6" t="s">
        <v>50</v>
      </c>
      <c r="C9" s="7" t="n">
        <v>0</v>
      </c>
      <c r="D9" s="8" t="n">
        <v>0.02</v>
      </c>
      <c r="E9" s="12" t="n">
        <f aca="false">IFERROR(C9*D9*$C$5,"-")</f>
        <v>0</v>
      </c>
    </row>
    <row r="10" customFormat="false" ht="15" hidden="false" customHeight="false" outlineLevel="0" collapsed="false">
      <c r="B10" s="6" t="s">
        <v>51</v>
      </c>
      <c r="C10" s="7" t="n">
        <v>0</v>
      </c>
      <c r="D10" s="8" t="n">
        <v>0.02</v>
      </c>
      <c r="E10" s="12" t="n">
        <f aca="false">IFERROR(C10*D10*$C$5,"-")</f>
        <v>0</v>
      </c>
    </row>
    <row r="11" customFormat="false" ht="15" hidden="false" customHeight="false" outlineLevel="0" collapsed="false">
      <c r="B11" s="6" t="s">
        <v>52</v>
      </c>
      <c r="C11" s="7" t="n">
        <v>0</v>
      </c>
      <c r="D11" s="8" t="n">
        <v>0.02</v>
      </c>
      <c r="E11" s="12" t="n">
        <f aca="false">IFERROR(C11*D11*$C$5,"-")</f>
        <v>0</v>
      </c>
    </row>
    <row r="13" customFormat="false" ht="15" hidden="false" customHeight="false" outlineLevel="0" collapsed="false">
      <c r="B13" s="5" t="s">
        <v>53</v>
      </c>
    </row>
    <row r="14" customFormat="false" ht="15" hidden="false" customHeight="false" outlineLevel="0" collapsed="false">
      <c r="C14" s="5" t="s">
        <v>50</v>
      </c>
      <c r="D14" s="5" t="s">
        <v>51</v>
      </c>
      <c r="E14" s="5" t="s">
        <v>52</v>
      </c>
    </row>
    <row r="15" customFormat="false" ht="15" hidden="false" customHeight="false" outlineLevel="0" collapsed="false">
      <c r="B15" s="3" t="s">
        <v>50</v>
      </c>
      <c r="C15" s="22" t="n">
        <v>1</v>
      </c>
      <c r="D15" s="23" t="n">
        <v>0.3</v>
      </c>
      <c r="E15" s="23" t="n">
        <v>0.3</v>
      </c>
    </row>
    <row r="16" customFormat="false" ht="15" hidden="false" customHeight="false" outlineLevel="0" collapsed="false">
      <c r="B16" s="3" t="s">
        <v>51</v>
      </c>
      <c r="C16" s="24" t="n">
        <f aca="false">D15</f>
        <v>0.3</v>
      </c>
      <c r="D16" s="22" t="n">
        <v>1</v>
      </c>
      <c r="E16" s="23" t="n">
        <v>0.3</v>
      </c>
    </row>
    <row r="17" customFormat="false" ht="15" hidden="false" customHeight="false" outlineLevel="0" collapsed="false">
      <c r="B17" s="3" t="s">
        <v>52</v>
      </c>
      <c r="C17" s="24" t="n">
        <f aca="false">E15</f>
        <v>0.3</v>
      </c>
      <c r="D17" s="24" t="n">
        <f aca="false">E16</f>
        <v>0.3</v>
      </c>
      <c r="E17" s="22" t="n">
        <v>1</v>
      </c>
    </row>
    <row r="19" customFormat="false" ht="15" hidden="false" customHeight="false" outlineLevel="0" collapsed="false">
      <c r="B19" s="5" t="s">
        <v>54</v>
      </c>
    </row>
    <row r="20" customFormat="false" ht="15" hidden="false" customHeight="false" outlineLevel="0" collapsed="false">
      <c r="B20" s="1" t="s">
        <v>55</v>
      </c>
      <c r="C20" s="25" t="n">
        <f aca="false">C9*D9*C9*D9*C15+C9*D9*C10*D10*D15+C9*D9*C11*D11*E15+C10*D10*C9*D9*C16+C10*D10*C10*D10*D16+C10*D10*C11*D11*E16+C11*D11*C9*D9*C17+C11*D11*C10*D10*D17+C11*D11*C11*D11*E17</f>
        <v>0</v>
      </c>
    </row>
    <row r="21" customFormat="false" ht="15" hidden="false" customHeight="false" outlineLevel="0" collapsed="false">
      <c r="B21" s="1" t="s">
        <v>56</v>
      </c>
      <c r="C21" s="12" t="n">
        <f aca="false">SQRT(C20)</f>
        <v>0</v>
      </c>
    </row>
    <row r="22" customFormat="false" ht="15" hidden="false" customHeight="false" outlineLevel="0" collapsed="false">
      <c r="B22" s="1" t="s">
        <v>57</v>
      </c>
      <c r="C22" s="26" t="n">
        <f aca="false">C21*C5</f>
        <v>0</v>
      </c>
    </row>
    <row r="23" customFormat="false" ht="15" hidden="false" customHeight="false" outlineLevel="0" collapsed="false">
      <c r="B23" s="1" t="s">
        <v>58</v>
      </c>
      <c r="C23" s="12" t="n">
        <f aca="false">SUM(E9:E11)</f>
        <v>0</v>
      </c>
    </row>
    <row r="24" customFormat="false" ht="15" hidden="false" customHeight="false" outlineLevel="0" collapsed="false">
      <c r="B24" s="1" t="s">
        <v>59</v>
      </c>
      <c r="C24" s="13" t="n">
        <f aca="false">C23-C22</f>
        <v>0</v>
      </c>
      <c r="D24" s="14" t="s">
        <v>60</v>
      </c>
    </row>
    <row r="26" customFormat="false" ht="15" hidden="false" customHeight="false" outlineLevel="0" collapsed="false">
      <c r="B26" s="5" t="s">
        <v>61</v>
      </c>
    </row>
    <row r="27" customFormat="false" ht="15" hidden="false" customHeight="false" outlineLevel="0" collapsed="false">
      <c r="B27" s="6" t="s">
        <v>50</v>
      </c>
      <c r="C27" s="12" t="str">
        <f aca="false">IFERROR((C9*(D9*(C9*D9*C15+C10*D10*D15+C11*D11*E15))/C20)*C22,"-")</f>
        <v>-</v>
      </c>
    </row>
    <row r="28" customFormat="false" ht="15" hidden="false" customHeight="false" outlineLevel="0" collapsed="false">
      <c r="B28" s="6" t="s">
        <v>51</v>
      </c>
      <c r="C28" s="12" t="str">
        <f aca="false">IFERROR((C10*(D10*(C9*D9*C16+C10*D10*D16+C11*D11*E16))/C20)*C22,"-")</f>
        <v>-</v>
      </c>
    </row>
    <row r="29" customFormat="false" ht="15" hidden="false" customHeight="false" outlineLevel="0" collapsed="false">
      <c r="B29" s="6" t="s">
        <v>52</v>
      </c>
      <c r="C29" s="12" t="str">
        <f aca="false">IFERROR((C11*(D11*(C9*D9*C17+C10*D10*D17+C11*D11*E17))/C20)*C22,"-")</f>
        <v>-</v>
      </c>
    </row>
    <row r="30" customFormat="false" ht="15" hidden="false" customHeight="false" outlineLevel="0" collapsed="false">
      <c r="B30" s="1" t="s">
        <v>62</v>
      </c>
      <c r="C30" s="13" t="n">
        <f aca="false">SUM(C27:C29)</f>
        <v>0</v>
      </c>
      <c r="D30" s="14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7" hidden="false" customHeight="false" outlineLevel="0" collapsed="false">
      <c r="B2" s="2" t="s">
        <v>64</v>
      </c>
    </row>
    <row r="4" customFormat="false" ht="15" hidden="false" customHeight="false" outlineLevel="0" collapsed="false">
      <c r="B4" s="17" t="s">
        <v>65</v>
      </c>
      <c r="C4" s="17" t="s">
        <v>66</v>
      </c>
      <c r="D4" s="17" t="s">
        <v>67</v>
      </c>
      <c r="E4" s="17" t="s">
        <v>68</v>
      </c>
      <c r="F4" s="17" t="s">
        <v>69</v>
      </c>
    </row>
    <row r="5" customFormat="false" ht="15" hidden="false" customHeight="false" outlineLevel="0" collapsed="false">
      <c r="B5" s="27"/>
      <c r="C5" s="27"/>
      <c r="D5" s="27"/>
      <c r="E5" s="27"/>
      <c r="F5" s="27"/>
    </row>
    <row r="6" customFormat="false" ht="15" hidden="false" customHeight="false" outlineLevel="0" collapsed="false">
      <c r="B6" s="27"/>
      <c r="C6" s="27"/>
      <c r="D6" s="27"/>
      <c r="E6" s="27"/>
      <c r="F6" s="27"/>
    </row>
    <row r="7" customFormat="false" ht="15" hidden="false" customHeight="false" outlineLevel="0" collapsed="false">
      <c r="B7" s="27"/>
      <c r="C7" s="27"/>
      <c r="D7" s="27"/>
      <c r="E7" s="27"/>
      <c r="F7" s="27"/>
    </row>
    <row r="8" customFormat="false" ht="15" hidden="false" customHeight="false" outlineLevel="0" collapsed="false">
      <c r="B8" s="27"/>
      <c r="C8" s="27"/>
      <c r="D8" s="27"/>
      <c r="E8" s="27"/>
      <c r="F8" s="27"/>
    </row>
    <row r="9" customFormat="false" ht="15" hidden="false" customHeight="false" outlineLevel="0" collapsed="false">
      <c r="B9" s="27"/>
      <c r="C9" s="27"/>
      <c r="D9" s="27"/>
      <c r="E9" s="27"/>
      <c r="F9" s="27"/>
    </row>
    <row r="10" customFormat="false" ht="15" hidden="false" customHeight="false" outlineLevel="0" collapsed="false">
      <c r="B10" s="27"/>
      <c r="C10" s="27"/>
      <c r="D10" s="27"/>
      <c r="E10" s="27"/>
      <c r="F10" s="27"/>
    </row>
    <row r="11" customFormat="false" ht="15" hidden="false" customHeight="false" outlineLevel="0" collapsed="false">
      <c r="B11" s="27"/>
      <c r="C11" s="27"/>
      <c r="D11" s="27"/>
      <c r="E11" s="27"/>
      <c r="F11" s="27"/>
    </row>
    <row r="12" customFormat="false" ht="15" hidden="false" customHeight="false" outlineLevel="0" collapsed="false">
      <c r="B12" s="27"/>
      <c r="C12" s="27"/>
      <c r="D12" s="27"/>
      <c r="E12" s="27"/>
      <c r="F12" s="27"/>
    </row>
    <row r="13" customFormat="false" ht="15" hidden="false" customHeight="false" outlineLevel="0" collapsed="false">
      <c r="B13" s="27"/>
      <c r="C13" s="27"/>
      <c r="D13" s="27"/>
      <c r="E13" s="27"/>
      <c r="F13" s="27"/>
    </row>
    <row r="14" customFormat="false" ht="15" hidden="false" customHeight="false" outlineLevel="0" collapsed="false">
      <c r="B14" s="27"/>
      <c r="C14" s="27"/>
      <c r="D14" s="27"/>
      <c r="E14" s="27"/>
      <c r="F14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2026-08-04T02:32:39Z</dcterms:created>
  <dc:creator>openpyxl</dc:creator>
  <dc:description/>
  <dc:language>en-US</dc:language>
  <cp:lastModifiedBy/>
  <dcterms:modified xsi:type="dcterms:W3CDTF">2026-08-04T02:32:39Z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