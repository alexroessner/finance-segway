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BS Pricer" sheetId="2" state="visible" r:id="rId4"/>
    <sheet name="Greeks" sheetId="3" state="visible" r:id="rId5"/>
    <sheet name="Strategy Payoffs" sheetId="4" state="visible" r:id="rId6"/>
    <sheet name="Implied Volatility" sheetId="5" state="visible" r:id="rId7"/>
    <sheet name="American Option (Binomial)" sheetId="6" state="visible" r:id="rId8"/>
    <sheet name="RefreshLo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<sst xmlns="http://schemas.openxmlformats.org/spreadsheetml/2006/main" count="143" uniqueCount="102">
  <si>
    <t xml:space="preserve">[UNDERLYING] — Options Model</t>
  </si>
  <si>
    <t xml:space="preserve">Underlying:</t>
  </si>
  <si>
    <t xml:space="preserve">[fill in]</t>
  </si>
  <si>
    <t xml:space="preserve">Option type covered:</t>
  </si>
  <si>
    <t xml:space="preserve">Equity / index / FX / commodity options</t>
  </si>
  <si>
    <t xml:space="preserve">Last refreshed:</t>
  </si>
  <si>
    <t xml:space="preserve">[date]</t>
  </si>
  <si>
    <t xml:space="preserve">Next expiry to watch:</t>
  </si>
  <si>
    <t xml:space="preserve">Refresh cadence:</t>
  </si>
  <si>
    <t xml:space="preserve">Weekly (daily near expiry)</t>
  </si>
  <si>
    <t xml:space="preserve">Black-Scholes Pricer</t>
  </si>
  <si>
    <t xml:space="preserve">Inputs</t>
  </si>
  <si>
    <t xml:space="preserve">Intermediate</t>
  </si>
  <si>
    <t xml:space="preserve">Spot price (S)</t>
  </si>
  <si>
    <t xml:space="preserve">d1</t>
  </si>
  <si>
    <t xml:space="preserve">Strike price (K)</t>
  </si>
  <si>
    <t xml:space="preserve">d2</t>
  </si>
  <si>
    <t xml:space="preserve">Time to expiry (yrs, T)</t>
  </si>
  <si>
    <t xml:space="preserve">N(d1)</t>
  </si>
  <si>
    <t xml:space="preserve">Risk-free rate (r)</t>
  </si>
  <si>
    <t xml:space="preserve">N(d2)</t>
  </si>
  <si>
    <t xml:space="preserve">Dividend yield (q)</t>
  </si>
  <si>
    <t xml:space="preserve">N(-d1)</t>
  </si>
  <si>
    <t xml:space="preserve">Implied volatility (sigma)</t>
  </si>
  <si>
    <t xml:space="preserve">N(-d2)</t>
  </si>
  <si>
    <t xml:space="preserve">Outputs</t>
  </si>
  <si>
    <t xml:space="preserve">Call price</t>
  </si>
  <si>
    <t xml:space="preserve">Put price</t>
  </si>
  <si>
    <t xml:space="preserve">Greeks (linked to BS Pricer inputs)</t>
  </si>
  <si>
    <t xml:space="preserve">Greek</t>
  </si>
  <si>
    <t xml:space="preserve">Call</t>
  </si>
  <si>
    <t xml:space="preserve">Put</t>
  </si>
  <si>
    <t xml:space="preserve">Interpretation</t>
  </si>
  <si>
    <t xml:space="preserve">Delta</t>
  </si>
  <si>
    <t xml:space="preserve">Price sensitivity to $1 move in underlying</t>
  </si>
  <si>
    <t xml:space="preserve">Gamma</t>
  </si>
  <si>
    <t xml:space="preserve">Rate of change of delta</t>
  </si>
  <si>
    <t xml:space="preserve">Vega (per 1% vol)</t>
  </si>
  <si>
    <t xml:space="preserve">Sensitivity to 1pt vol change</t>
  </si>
  <si>
    <t xml:space="preserve">Theta (per day)</t>
  </si>
  <si>
    <t xml:space="preserve">Time decay per calendar day</t>
  </si>
  <si>
    <t xml:space="preserve">Rho (per 1%)</t>
  </si>
  <si>
    <t xml:space="preserve">Sensitivity to 1pt rate change</t>
  </si>
  <si>
    <t xml:space="preserve">Payoff at Expiry — Long Straddle Example</t>
  </si>
  <si>
    <t xml:space="preserve">Underlying price at expiry -&gt;</t>
  </si>
  <si>
    <t xml:space="preserve">Long call payoff</t>
  </si>
  <si>
    <t xml:space="preserve">Long put payoff</t>
  </si>
  <si>
    <t xml:space="preserve">Net payoff (straddle)</t>
  </si>
  <si>
    <t xml:space="preserve">Less: premium paid</t>
  </si>
  <si>
    <t xml:space="preserve">Net P&amp;L</t>
  </si>
  <si>
    <t xml:space="preserve">Note: swap the payoff formulas per leg to model spreads, collars, condors, etc.</t>
  </si>
  <si>
    <t xml:space="preserve">Implied Volatility — Newton-Raphson Solver</t>
  </si>
  <si>
    <t xml:space="preserve">Option type (Call or Put)</t>
  </si>
  <si>
    <t xml:space="preserve">Observed market price (target)</t>
  </si>
  <si>
    <t xml:space="preserve">Newton-Raphson iterations (converges to machine precision in 2-3 steps for any reasonable option; 9 shown as a safety margin)</t>
  </si>
  <si>
    <t xml:space="preserve">Iter 0</t>
  </si>
  <si>
    <t xml:space="preserve">Iter 1</t>
  </si>
  <si>
    <t xml:space="preserve">Iter 2</t>
  </si>
  <si>
    <t xml:space="preserve">Iter 3</t>
  </si>
  <si>
    <t xml:space="preserve">Iter 4</t>
  </si>
  <si>
    <t xml:space="preserve">Iter 5</t>
  </si>
  <si>
    <t xml:space="preserve">Iter 6</t>
  </si>
  <si>
    <t xml:space="preserve">Iter 7</t>
  </si>
  <si>
    <t xml:space="preserve">Iter 8</t>
  </si>
  <si>
    <t xml:space="preserve">Sigma (vol estimate)</t>
  </si>
  <si>
    <t xml:space="preserve">Price at this sigma</t>
  </si>
  <si>
    <t xml:space="preserve">Vega (dPrice/dSigma, raw)</t>
  </si>
  <si>
    <t xml:space="preserve">Implied volatility (final iteration)</t>
  </si>
  <si>
    <t xml:space="preserve">Convergence check (final price vs. target, should be ~0)</t>
  </si>
  <si>
    <t xml:space="preserve">American Option Pricing — 10-Step Binomial Tree (Cox-Ross-Rubinstein)</t>
  </si>
  <si>
    <t xml:space="preserve">Derived tree parameters</t>
  </si>
  <si>
    <t xml:space="preserve">Time step (dt = T/N)</t>
  </si>
  <si>
    <t xml:space="preserve">Up factor (u = e^(sigma*sqrt(dt)))</t>
  </si>
  <si>
    <t xml:space="preserve">Down factor (d = 1/u)</t>
  </si>
  <si>
    <t xml:space="preserve">Risk-neutral up-probability (p)</t>
  </si>
  <si>
    <t xml:space="preserve">Per-step discount factor</t>
  </si>
  <si>
    <t xml:space="preserve">Underlying Price Tree</t>
  </si>
  <si>
    <t xml:space="preserve">t=0</t>
  </si>
  <si>
    <t xml:space="preserve">t=1</t>
  </si>
  <si>
    <t xml:space="preserve">t=2</t>
  </si>
  <si>
    <t xml:space="preserve">t=3</t>
  </si>
  <si>
    <t xml:space="preserve">t=4</t>
  </si>
  <si>
    <t xml:space="preserve">t=5</t>
  </si>
  <si>
    <t xml:space="preserve">t=6</t>
  </si>
  <si>
    <t xml:space="preserve">t=7</t>
  </si>
  <si>
    <t xml:space="preserve">t=8</t>
  </si>
  <si>
    <t xml:space="preserve">t=9</t>
  </si>
  <si>
    <t xml:space="preserve">t=10</t>
  </si>
  <si>
    <t xml:space="preserve">American Option Value Tree (exercise-or-hold at every node)</t>
  </si>
  <si>
    <t xml:space="preserve">European Option Value Tree (hold-only — comparison / BS cross-check)</t>
  </si>
  <si>
    <t xml:space="preserve">American option value (today, t=0)</t>
  </si>
  <si>
    <t xml:space="preserve">European (binomial) option value (today, t=0)</t>
  </si>
  <si>
    <t xml:space="preserve">Early-exercise premium (American - European)</t>
  </si>
  <si>
    <t xml:space="preserve">Should be ~0 for a call with no dividends (early exercise is never optimal) and positive for a put</t>
  </si>
  <si>
    <t xml:space="preserve">Closed-form Black-Scholes (European) cross-check</t>
  </si>
  <si>
    <t xml:space="preserve">The European binomial value above should sit close to this — both price the same no-early-exercise option two different ways</t>
  </si>
  <si>
    <t xml:space="preserve">Refresh Log</t>
  </si>
  <si>
    <t xml:space="preserve">Date</t>
  </si>
  <si>
    <t xml:space="preserve">Trigger</t>
  </si>
  <si>
    <t xml:space="preserve">What changed</t>
  </si>
  <si>
    <t xml:space="preserve">Reviewer notes</t>
  </si>
  <si>
    <t xml:space="preserve">Next check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</si>
</sst>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.00;&quot;($&quot;#,##0.00\);\-"/>
    <numFmt numFmtId="166" formatCode="0.0000"/>
    <numFmt numFmtId="167" formatCode="0.00%;\(0.00%\);\-"/>
    <numFmt numFmtId="168" formatCode="0.0%;\(0.0%\);\-"/>
    <numFmt numFmtId="169" formatCode="\$#,##0;&quot;($&quot;#,##0\);\-"/>
    <numFmt numFmtId="170" formatCode="0.00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40"/>
    <col collapsed="false" customWidth="true" hidden="false" outlineLevel="0" max="4" min="4" style="1" width="4"/>
  </cols>
  <sheetData>
    <row r="2" customFormat="false" ht="19.7" hidden="false" customHeight="false" outlineLevel="0" collapsed="false">
      <c r="B2" s="2" t="s">
        <v>0</v>
      </c>
    </row>
    <row r="4" customFormat="false" ht="15" hidden="false" customHeight="false" outlineLevel="0" collapsed="false">
      <c r="B4" s="3" t="s">
        <v>1</v>
      </c>
      <c r="C4" s="4" t="s">
        <v>2</v>
      </c>
    </row>
    <row r="5" customFormat="false" ht="15" hidden="false" customHeight="false" outlineLevel="0" collapsed="false">
      <c r="B5" s="3" t="s">
        <v>3</v>
      </c>
      <c r="C5" s="4" t="s">
        <v>4</v>
      </c>
    </row>
    <row r="6" customFormat="false" ht="15" hidden="false" customHeight="false" outlineLevel="0" collapsed="false">
      <c r="B6" s="3" t="s">
        <v>5</v>
      </c>
      <c r="C6" s="4" t="s">
        <v>6</v>
      </c>
    </row>
    <row r="7" customFormat="false" ht="15" hidden="false" customHeight="false" outlineLevel="0" collapsed="false">
      <c r="B7" s="3" t="s">
        <v>7</v>
      </c>
      <c r="C7" s="4" t="s">
        <v>6</v>
      </c>
    </row>
    <row r="8" customFormat="false" ht="15" hidden="false" customHeight="false" outlineLevel="0" collapsed="false">
      <c r="B8" s="3" t="s">
        <v>8</v>
      </c>
      <c r="C8" s="4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3" min="3" style="1" width="14"/>
    <col collapsed="false" customWidth="true" hidden="false" outlineLevel="0" max="4" min="4" style="1" width="4"/>
    <col collapsed="false" customWidth="true" hidden="false" outlineLevel="0" max="5" min="5" style="1" width="26"/>
    <col collapsed="false" customWidth="true" hidden="false" outlineLevel="0" max="6" min="6" style="1" width="16"/>
  </cols>
  <sheetData>
    <row r="2" customFormat="false" ht="19.7" hidden="false" customHeight="false" outlineLevel="0" collapsed="false">
      <c r="B2" s="2" t="s">
        <v>10</v>
      </c>
    </row>
    <row r="4" customFormat="false" ht="15" hidden="false" customHeight="false" outlineLevel="0" collapsed="false">
      <c r="B4" s="5" t="s">
        <v>11</v>
      </c>
      <c r="E4" s="5" t="s">
        <v>12</v>
      </c>
    </row>
    <row r="5" customFormat="false" ht="15" hidden="false" customHeight="false" outlineLevel="0" collapsed="false">
      <c r="B5" s="6" t="s">
        <v>13</v>
      </c>
      <c r="C5" s="7" t="n">
        <v>100</v>
      </c>
      <c r="E5" s="8" t="s">
        <v>14</v>
      </c>
      <c r="F5" s="9" t="n">
        <f aca="false">(LN(C5/C6)+(C8-C9+0.5*C10^2)*C7)/(C10*SQRT(C7))</f>
        <v>0.15</v>
      </c>
    </row>
    <row r="6" customFormat="false" ht="15" hidden="false" customHeight="false" outlineLevel="0" collapsed="false">
      <c r="B6" s="6" t="s">
        <v>15</v>
      </c>
      <c r="C6" s="7" t="n">
        <v>100</v>
      </c>
      <c r="E6" s="8" t="s">
        <v>16</v>
      </c>
      <c r="F6" s="9" t="n">
        <f aca="false">F5-C10*SQRT(C7)</f>
        <v>0</v>
      </c>
    </row>
    <row r="7" customFormat="false" ht="15" hidden="false" customHeight="false" outlineLevel="0" collapsed="false">
      <c r="B7" s="6" t="s">
        <v>17</v>
      </c>
      <c r="C7" s="10" t="n">
        <v>0.25</v>
      </c>
      <c r="E7" s="8" t="s">
        <v>18</v>
      </c>
      <c r="F7" s="9" t="n">
        <f aca="false">NORMSDIST(F5)</f>
        <v>0.559617692370243</v>
      </c>
    </row>
    <row r="8" customFormat="false" ht="15" hidden="false" customHeight="false" outlineLevel="0" collapsed="false">
      <c r="B8" s="6" t="s">
        <v>19</v>
      </c>
      <c r="C8" s="11" t="n">
        <v>0.045</v>
      </c>
      <c r="E8" s="8" t="s">
        <v>20</v>
      </c>
      <c r="F8" s="9" t="n">
        <f aca="false">NORMSDIST(F6)</f>
        <v>0.5</v>
      </c>
    </row>
    <row r="9" customFormat="false" ht="15" hidden="false" customHeight="false" outlineLevel="0" collapsed="false">
      <c r="B9" s="6" t="s">
        <v>21</v>
      </c>
      <c r="C9" s="11" t="n">
        <v>0</v>
      </c>
      <c r="E9" s="8" t="s">
        <v>22</v>
      </c>
      <c r="F9" s="9" t="n">
        <f aca="false">NORMSDIST(-F5)</f>
        <v>0.440382307629758</v>
      </c>
    </row>
    <row r="10" customFormat="false" ht="15" hidden="false" customHeight="false" outlineLevel="0" collapsed="false">
      <c r="B10" s="6" t="s">
        <v>23</v>
      </c>
      <c r="C10" s="12" t="n">
        <v>0.3</v>
      </c>
      <c r="E10" s="8" t="s">
        <v>24</v>
      </c>
      <c r="F10" s="9" t="n">
        <f aca="false">NORMSDIST(-F6)</f>
        <v>0.5</v>
      </c>
    </row>
    <row r="12" customFormat="false" ht="15" hidden="false" customHeight="false" outlineLevel="0" collapsed="false">
      <c r="B12" s="5" t="s">
        <v>25</v>
      </c>
    </row>
    <row r="13" customFormat="false" ht="15" hidden="false" customHeight="false" outlineLevel="0" collapsed="false">
      <c r="B13" s="1" t="s">
        <v>26</v>
      </c>
      <c r="C13" s="13" t="n">
        <f aca="false">C5*EXP(-C9*C7)*F7-C6*EXP(-C8*C7)*F8</f>
        <v>6.5211170064626</v>
      </c>
    </row>
    <row r="14" customFormat="false" ht="15" hidden="false" customHeight="false" outlineLevel="0" collapsed="false">
      <c r="B14" s="1" t="s">
        <v>27</v>
      </c>
      <c r="C14" s="13" t="n">
        <f aca="false">C6*EXP(-C8*C7)*F10-C5*EXP(-C9*C7)*F9</f>
        <v>5.4024214675859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0"/>
    <col collapsed="false" customWidth="true" hidden="false" outlineLevel="0" max="4" min="3" style="1" width="16"/>
    <col collapsed="false" customWidth="true" hidden="false" outlineLevel="0" max="5" min="5" style="1" width="40"/>
  </cols>
  <sheetData>
    <row r="2" customFormat="false" ht="19.7" hidden="false" customHeight="false" outlineLevel="0" collapsed="false">
      <c r="B2" s="2" t="s">
        <v>28</v>
      </c>
    </row>
    <row r="4" customFormat="false" ht="15" hidden="false" customHeight="false" outlineLevel="0" collapsed="false">
      <c r="A4" s="14"/>
      <c r="B4" s="14" t="s">
        <v>29</v>
      </c>
      <c r="C4" s="14" t="s">
        <v>30</v>
      </c>
      <c r="D4" s="14" t="s">
        <v>31</v>
      </c>
      <c r="E4" s="8" t="s">
        <v>32</v>
      </c>
    </row>
    <row r="5" customFormat="false" ht="15" hidden="false" customHeight="false" outlineLevel="0" collapsed="false">
      <c r="B5" s="6" t="s">
        <v>33</v>
      </c>
      <c r="C5" s="9" t="n">
        <f aca="false">EXP(-'BS Pricer'!$C$9*'BS Pricer'!$C$7)*'BS Pricer'!$F$7</f>
        <v>0.559617692370243</v>
      </c>
      <c r="D5" s="9" t="n">
        <f aca="false">-EXP(-'BS Pricer'!$C$9*'BS Pricer'!$C$7)*'BS Pricer'!$F$9</f>
        <v>-0.440382307629758</v>
      </c>
      <c r="E5" s="15" t="s">
        <v>34</v>
      </c>
    </row>
    <row r="6" customFormat="false" ht="15" hidden="false" customHeight="false" outlineLevel="0" collapsed="false">
      <c r="B6" s="6" t="s">
        <v>35</v>
      </c>
      <c r="C6" s="9" t="n">
        <f aca="false">EXP(-'BS Pricer'!$C$9*'BS Pricer'!$C$7)*(EXP(-('BS Pricer'!$F$5)^2/2)/SQRT(2*PI()))/('BS Pricer'!$C$5*'BS Pricer'!$C$10*SQRT('BS Pricer'!$C$7))</f>
        <v>0.026897048103991</v>
      </c>
      <c r="D6" s="9" t="n">
        <f aca="false">EXP(-'BS Pricer'!$C$9*'BS Pricer'!$C$7)*(EXP(-('BS Pricer'!$F$5)^2/2)/SQRT(2*PI()))/('BS Pricer'!$C$5*'BS Pricer'!$C$10*SQRT('BS Pricer'!$C$7))</f>
        <v>0.026897048103991</v>
      </c>
      <c r="E6" s="15" t="s">
        <v>36</v>
      </c>
    </row>
    <row r="7" customFormat="false" ht="15" hidden="false" customHeight="false" outlineLevel="0" collapsed="false">
      <c r="B7" s="6" t="s">
        <v>37</v>
      </c>
      <c r="C7" s="9" t="n">
        <f aca="false">'BS Pricer'!$C$5*EXP(-'BS Pricer'!$C$9*'BS Pricer'!$C$7)*(EXP(-('BS Pricer'!$F$5)^2/2)/SQRT(2*PI()))*SQRT('BS Pricer'!$C$7)/100</f>
        <v>0.201727860779933</v>
      </c>
      <c r="D7" s="9" t="n">
        <f aca="false">'BS Pricer'!$C$5*EXP(-'BS Pricer'!$C$9*'BS Pricer'!$C$7)*(EXP(-('BS Pricer'!$F$5)^2/2)/SQRT(2*PI()))*SQRT('BS Pricer'!$C$7)/100</f>
        <v>0.201727860779933</v>
      </c>
      <c r="E7" s="15" t="s">
        <v>38</v>
      </c>
    </row>
    <row r="8" customFormat="false" ht="15" hidden="false" customHeight="false" outlineLevel="0" collapsed="false">
      <c r="B8" s="6" t="s">
        <v>39</v>
      </c>
      <c r="C8" s="9" t="n">
        <f aca="false">(-'BS Pricer'!$C$5*(EXP(-('BS Pricer'!$F$5)^2/2)/SQRT(2*PI()))*'BS Pricer'!$C$10*EXP(-'BS Pricer'!$C$9*'BS Pricer'!$C$7)/(2*SQRT('BS Pricer'!$C$7))-'BS Pricer'!$C$8*'BS Pricer'!$C$6*EXP(-'BS Pricer'!$C$8*'BS Pricer'!$C$7)*'BS Pricer'!$F$8+'BS Pricer'!$C$9*'BS Pricer'!$C$5*EXP(-'BS Pricer'!$C$9*'BS Pricer'!$C$7)*'BS Pricer'!$F$7)/365</f>
        <v>-0.0392561671155377</v>
      </c>
      <c r="D8" s="9" t="n">
        <f aca="false">(-'BS Pricer'!$C$5*(EXP(-('BS Pricer'!$F$5)^2/2)/SQRT(2*PI()))*'BS Pricer'!$C$10*EXP(-'BS Pricer'!$C$9*'BS Pricer'!$C$7)/(2*SQRT('BS Pricer'!$C$7))+'BS Pricer'!$C$8*'BS Pricer'!$C$6*EXP(-'BS Pricer'!$C$8*'BS Pricer'!$C$7)*'BS Pricer'!$F$10-'BS Pricer'!$C$9*'BS Pricer'!$C$5*EXP(-'BS Pricer'!$C$9*'BS Pricer'!$C$7)*'BS Pricer'!$F$9)/365</f>
        <v>-0.0270653213600567</v>
      </c>
      <c r="E8" s="15" t="s">
        <v>40</v>
      </c>
    </row>
    <row r="9" customFormat="false" ht="15" hidden="false" customHeight="false" outlineLevel="0" collapsed="false">
      <c r="B9" s="6" t="s">
        <v>41</v>
      </c>
      <c r="C9" s="9" t="n">
        <f aca="false">'BS Pricer'!$C$6*'BS Pricer'!$C$7*EXP(-'BS Pricer'!$C$8*'BS Pricer'!$C$7)*'BS Pricer'!$F$8/100</f>
        <v>0.123601630576404</v>
      </c>
      <c r="D9" s="9" t="n">
        <f aca="false">-'BS Pricer'!$C$6*'BS Pricer'!$C$7*EXP(-'BS Pricer'!$C$8*'BS Pricer'!$C$7)*'BS Pricer'!$F$10/100</f>
        <v>-0.123601630576404</v>
      </c>
      <c r="E9" s="15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11" min="3" style="1" width="12"/>
  </cols>
  <sheetData>
    <row r="2" customFormat="false" ht="19.7" hidden="false" customHeight="false" outlineLevel="0" collapsed="false">
      <c r="B2" s="2" t="s">
        <v>43</v>
      </c>
    </row>
    <row r="4" customFormat="false" ht="15" hidden="false" customHeight="false" outlineLevel="0" collapsed="false">
      <c r="B4" s="3" t="s">
        <v>44</v>
      </c>
      <c r="C4" s="16" t="n">
        <v>70</v>
      </c>
      <c r="D4" s="16" t="n">
        <v>80</v>
      </c>
      <c r="E4" s="16" t="n">
        <v>90</v>
      </c>
      <c r="F4" s="16" t="n">
        <v>100</v>
      </c>
      <c r="G4" s="16" t="n">
        <v>110</v>
      </c>
      <c r="H4" s="16" t="n">
        <v>120</v>
      </c>
      <c r="I4" s="16" t="n">
        <v>130</v>
      </c>
    </row>
    <row r="5" customFormat="false" ht="15" hidden="false" customHeight="false" outlineLevel="0" collapsed="false">
      <c r="B5" s="1" t="s">
        <v>45</v>
      </c>
      <c r="C5" s="17" t="n">
        <f aca="false">MAX(C4-'BS Pricer'!$C$6,0)</f>
        <v>0</v>
      </c>
      <c r="D5" s="17" t="n">
        <f aca="false">MAX(D4-'BS Pricer'!$C$6,0)</f>
        <v>0</v>
      </c>
      <c r="E5" s="17" t="n">
        <f aca="false">MAX(E4-'BS Pricer'!$C$6,0)</f>
        <v>0</v>
      </c>
      <c r="F5" s="17" t="n">
        <f aca="false">MAX(F4-'BS Pricer'!$C$6,0)</f>
        <v>0</v>
      </c>
      <c r="G5" s="17" t="n">
        <f aca="false">MAX(G4-'BS Pricer'!$C$6,0)</f>
        <v>10</v>
      </c>
      <c r="H5" s="17" t="n">
        <f aca="false">MAX(H4-'BS Pricer'!$C$6,0)</f>
        <v>20</v>
      </c>
      <c r="I5" s="17" t="n">
        <f aca="false">MAX(I4-'BS Pricer'!$C$6,0)</f>
        <v>30</v>
      </c>
      <c r="J5" s="18"/>
      <c r="K5" s="18"/>
    </row>
    <row r="6" customFormat="false" ht="15" hidden="false" customHeight="false" outlineLevel="0" collapsed="false">
      <c r="B6" s="1" t="s">
        <v>46</v>
      </c>
      <c r="C6" s="17" t="n">
        <f aca="false">MAX('BS Pricer'!$C$6-C4,0)</f>
        <v>30</v>
      </c>
      <c r="D6" s="17" t="n">
        <f aca="false">MAX('BS Pricer'!$C$6-D4,0)</f>
        <v>20</v>
      </c>
      <c r="E6" s="17" t="n">
        <f aca="false">MAX('BS Pricer'!$C$6-E4,0)</f>
        <v>10</v>
      </c>
      <c r="F6" s="17" t="n">
        <f aca="false">MAX('BS Pricer'!$C$6-F4,0)</f>
        <v>0</v>
      </c>
      <c r="G6" s="17" t="n">
        <f aca="false">MAX('BS Pricer'!$C$6-G4,0)</f>
        <v>0</v>
      </c>
      <c r="H6" s="17" t="n">
        <f aca="false">MAX('BS Pricer'!$C$6-H4,0)</f>
        <v>0</v>
      </c>
      <c r="I6" s="17" t="n">
        <f aca="false">MAX('BS Pricer'!$C$6-I4,0)</f>
        <v>0</v>
      </c>
      <c r="J6" s="18"/>
      <c r="K6" s="18"/>
    </row>
    <row r="7" customFormat="false" ht="15" hidden="false" customHeight="false" outlineLevel="0" collapsed="false">
      <c r="B7" s="1" t="s">
        <v>47</v>
      </c>
      <c r="C7" s="17" t="n">
        <f aca="false">C5+C6</f>
        <v>30</v>
      </c>
      <c r="D7" s="17" t="n">
        <f aca="false">D5+D6</f>
        <v>20</v>
      </c>
      <c r="E7" s="17" t="n">
        <f aca="false">E5+E6</f>
        <v>10</v>
      </c>
      <c r="F7" s="17" t="n">
        <f aca="false">F5+F6</f>
        <v>0</v>
      </c>
      <c r="G7" s="17" t="n">
        <f aca="false">G5+G6</f>
        <v>10</v>
      </c>
      <c r="H7" s="17" t="n">
        <f aca="false">H5+H6</f>
        <v>20</v>
      </c>
      <c r="I7" s="17" t="n">
        <f aca="false">I5+I6</f>
        <v>30</v>
      </c>
      <c r="J7" s="18"/>
      <c r="K7" s="18"/>
    </row>
    <row r="8" customFormat="false" ht="15" hidden="false" customHeight="false" outlineLevel="0" collapsed="false">
      <c r="B8" s="1" t="s">
        <v>48</v>
      </c>
      <c r="C8" s="17" t="n">
        <f aca="false">'BS Pricer'!$C$13+'BS Pricer'!$C$14</f>
        <v>11.9235384740485</v>
      </c>
      <c r="D8" s="17" t="n">
        <f aca="false">'BS Pricer'!$C$13+'BS Pricer'!$C$14</f>
        <v>11.9235384740485</v>
      </c>
      <c r="E8" s="17" t="n">
        <f aca="false">'BS Pricer'!$C$13+'BS Pricer'!$C$14</f>
        <v>11.9235384740485</v>
      </c>
      <c r="F8" s="17" t="n">
        <f aca="false">'BS Pricer'!$C$13+'BS Pricer'!$C$14</f>
        <v>11.9235384740485</v>
      </c>
      <c r="G8" s="17" t="n">
        <f aca="false">'BS Pricer'!$C$13+'BS Pricer'!$C$14</f>
        <v>11.9235384740485</v>
      </c>
      <c r="H8" s="17" t="n">
        <f aca="false">'BS Pricer'!$C$13+'BS Pricer'!$C$14</f>
        <v>11.9235384740485</v>
      </c>
      <c r="I8" s="17" t="n">
        <f aca="false">'BS Pricer'!$C$13+'BS Pricer'!$C$14</f>
        <v>11.9235384740485</v>
      </c>
      <c r="J8" s="18"/>
      <c r="K8" s="18"/>
    </row>
    <row r="9" customFormat="false" ht="15" hidden="false" customHeight="false" outlineLevel="0" collapsed="false">
      <c r="B9" s="1" t="s">
        <v>49</v>
      </c>
      <c r="C9" s="19" t="n">
        <f aca="false">C7-C8</f>
        <v>18.0764615259515</v>
      </c>
      <c r="D9" s="19" t="n">
        <f aca="false">D7-D8</f>
        <v>8.0764615259515</v>
      </c>
      <c r="E9" s="19" t="n">
        <f aca="false">E7-E8</f>
        <v>-1.9235384740485</v>
      </c>
      <c r="F9" s="19" t="n">
        <f aca="false">F7-F8</f>
        <v>-11.9235384740485</v>
      </c>
      <c r="G9" s="19" t="n">
        <f aca="false">G7-G8</f>
        <v>-1.9235384740485</v>
      </c>
      <c r="H9" s="19" t="n">
        <f aca="false">H7-H8</f>
        <v>8.0764615259515</v>
      </c>
      <c r="I9" s="19" t="n">
        <f aca="false">I7-I8</f>
        <v>18.0764615259515</v>
      </c>
      <c r="J9" s="18"/>
      <c r="K9" s="18"/>
    </row>
    <row r="11" customFormat="false" ht="15" hidden="false" customHeight="false" outlineLevel="0" collapsed="false">
      <c r="B11" s="15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11" min="3" style="1" width="11"/>
    <col collapsed="false" customWidth="true" hidden="false" outlineLevel="0" max="12" min="12" style="1" width="40"/>
  </cols>
  <sheetData>
    <row r="2" customFormat="false" ht="19.7" hidden="false" customHeight="false" outlineLevel="0" collapsed="false">
      <c r="B2" s="2" t="s">
        <v>51</v>
      </c>
    </row>
    <row r="4" customFormat="false" ht="15" hidden="false" customHeight="false" outlineLevel="0" collapsed="false">
      <c r="B4" s="5" t="s">
        <v>11</v>
      </c>
    </row>
    <row r="5" customFormat="false" ht="15" hidden="false" customHeight="false" outlineLevel="0" collapsed="false">
      <c r="B5" s="6" t="s">
        <v>52</v>
      </c>
      <c r="C5" s="20" t="s">
        <v>30</v>
      </c>
    </row>
    <row r="6" customFormat="false" ht="15" hidden="false" customHeight="false" outlineLevel="0" collapsed="false">
      <c r="B6" s="6" t="s">
        <v>13</v>
      </c>
      <c r="C6" s="7" t="n">
        <v>100</v>
      </c>
    </row>
    <row r="7" customFormat="false" ht="15" hidden="false" customHeight="false" outlineLevel="0" collapsed="false">
      <c r="B7" s="6" t="s">
        <v>15</v>
      </c>
      <c r="C7" s="7" t="n">
        <v>100</v>
      </c>
    </row>
    <row r="8" customFormat="false" ht="15" hidden="false" customHeight="false" outlineLevel="0" collapsed="false">
      <c r="B8" s="6" t="s">
        <v>17</v>
      </c>
      <c r="C8" s="10" t="n">
        <v>0.25</v>
      </c>
    </row>
    <row r="9" customFormat="false" ht="15" hidden="false" customHeight="false" outlineLevel="0" collapsed="false">
      <c r="B9" s="6" t="s">
        <v>19</v>
      </c>
      <c r="C9" s="11" t="n">
        <v>0.045</v>
      </c>
    </row>
    <row r="10" customFormat="false" ht="15" hidden="false" customHeight="false" outlineLevel="0" collapsed="false">
      <c r="B10" s="6" t="s">
        <v>21</v>
      </c>
      <c r="C10" s="11" t="n">
        <v>0</v>
      </c>
    </row>
    <row r="11" customFormat="false" ht="15" hidden="false" customHeight="false" outlineLevel="0" collapsed="false">
      <c r="B11" s="6" t="s">
        <v>53</v>
      </c>
      <c r="C11" s="7" t="n">
        <v>6.52</v>
      </c>
    </row>
    <row r="13" customFormat="false" ht="15" hidden="false" customHeight="false" outlineLevel="0" collapsed="false">
      <c r="B13" s="15" t="s">
        <v>54</v>
      </c>
    </row>
    <row r="14" customFormat="false" ht="15" hidden="false" customHeight="false" outlineLevel="0" collapsed="false">
      <c r="C14" s="21" t="s">
        <v>55</v>
      </c>
      <c r="D14" s="21" t="s">
        <v>56</v>
      </c>
      <c r="E14" s="21" t="s">
        <v>57</v>
      </c>
      <c r="F14" s="21" t="s">
        <v>58</v>
      </c>
      <c r="G14" s="21" t="s">
        <v>59</v>
      </c>
      <c r="H14" s="21" t="s">
        <v>60</v>
      </c>
      <c r="I14" s="21" t="s">
        <v>61</v>
      </c>
      <c r="J14" s="21" t="s">
        <v>62</v>
      </c>
      <c r="K14" s="21" t="s">
        <v>63</v>
      </c>
    </row>
    <row r="15" customFormat="false" ht="15" hidden="false" customHeight="false" outlineLevel="0" collapsed="false">
      <c r="B15" s="1" t="s">
        <v>64</v>
      </c>
      <c r="C15" s="22" t="n">
        <f aca="false">SQRT(2*PI()/$C$8)*($C$11/$C$6)</f>
        <v>0.326864327011882</v>
      </c>
      <c r="D15" s="22" t="n">
        <f aca="false">C15-(C18-$C$11)/C19</f>
        <v>0.300545250482583</v>
      </c>
      <c r="E15" s="22" t="n">
        <f aca="false">D15-(D18-$C$11)/D19</f>
        <v>0.299956759229039</v>
      </c>
      <c r="F15" s="22" t="n">
        <f aca="false">E15-(E18-$C$11)/E19</f>
        <v>0.2999436659983</v>
      </c>
      <c r="G15" s="22" t="n">
        <f aca="false">F15-(F18-$C$11)/F19</f>
        <v>0.299943374690108</v>
      </c>
      <c r="H15" s="22" t="n">
        <f aca="false">G15-(G18-$C$11)/G19</f>
        <v>0.29994336820886</v>
      </c>
      <c r="I15" s="22" t="n">
        <f aca="false">H15-(H18-$C$11)/H19</f>
        <v>0.299943368064661</v>
      </c>
      <c r="J15" s="22" t="n">
        <f aca="false">I15-(I18-$C$11)/I19</f>
        <v>0.299943368061453</v>
      </c>
      <c r="K15" s="22" t="n">
        <f aca="false">J15-(J18-$C$11)/J19</f>
        <v>0.299943368061381</v>
      </c>
    </row>
    <row r="16" customFormat="false" ht="15" hidden="false" customHeight="false" outlineLevel="0" collapsed="false">
      <c r="B16" s="1" t="s">
        <v>14</v>
      </c>
      <c r="C16" s="9" t="n">
        <f aca="false">(LN($C$6/$C$7)+($C$9-$C$10+0.5*C15^2)*$C$8)/(C15*SQRT($C$8))</f>
        <v>0.150551981362114</v>
      </c>
      <c r="D16" s="9" t="n">
        <f aca="false">(LN($C$6/$C$7)+($C$9-$C$10+0.5*D15^2)*$C$8)/(D15*SQRT($C$8))</f>
        <v>0.150000247298941</v>
      </c>
      <c r="E16" s="9" t="n">
        <f aca="false">(LN($C$6/$C$7)+($C$9-$C$10+0.5*E15^2)*$C$8)/(E15*SQRT($C$8))</f>
        <v>0.150000001558362</v>
      </c>
      <c r="F16" s="9" t="n">
        <f aca="false">(LN($C$6/$C$7)+($C$9-$C$10+0.5*F15^2)*$C$8)/(F15*SQRT($C$8))</f>
        <v>0.150000002645096</v>
      </c>
      <c r="G16" s="9" t="n">
        <f aca="false">(LN($C$6/$C$7)+($C$9-$C$10+0.5*G15^2)*$C$8)/(G15*SQRT($C$8))</f>
        <v>0.150000002672526</v>
      </c>
      <c r="H16" s="9" t="n">
        <f aca="false">(LN($C$6/$C$7)+($C$9-$C$10+0.5*H15^2)*$C$8)/(H15*SQRT($C$8))</f>
        <v>0.150000002673138</v>
      </c>
      <c r="I16" s="9" t="n">
        <f aca="false">(LN($C$6/$C$7)+($C$9-$C$10+0.5*I15^2)*$C$8)/(I15*SQRT($C$8))</f>
        <v>0.150000002673151</v>
      </c>
      <c r="J16" s="9" t="n">
        <f aca="false">(LN($C$6/$C$7)+($C$9-$C$10+0.5*J15^2)*$C$8)/(J15*SQRT($C$8))</f>
        <v>0.150000002673152</v>
      </c>
      <c r="K16" s="9" t="n">
        <f aca="false">(LN($C$6/$C$7)+($C$9-$C$10+0.5*K15^2)*$C$8)/(K15*SQRT($C$8))</f>
        <v>0.150000002673152</v>
      </c>
    </row>
    <row r="17" customFormat="false" ht="15" hidden="false" customHeight="false" outlineLevel="0" collapsed="false">
      <c r="B17" s="1" t="s">
        <v>16</v>
      </c>
      <c r="C17" s="9" t="n">
        <f aca="false">C16-C15*SQRT($C$8)</f>
        <v>-0.0128801821438277</v>
      </c>
      <c r="D17" s="9" t="n">
        <f aca="false">D16-D15*SQRT($C$8)</f>
        <v>-0.000272377942350244</v>
      </c>
      <c r="E17" s="9" t="n">
        <f aca="false">E16-E15*SQRT($C$8)</f>
        <v>2.16219438421428E-005</v>
      </c>
      <c r="F17" s="9" t="n">
        <f aca="false">F16-F15*SQRT($C$8)</f>
        <v>2.8169645946402E-005</v>
      </c>
      <c r="G17" s="9" t="n">
        <f aca="false">G16-G15*SQRT($C$8)</f>
        <v>2.83153274719672E-005</v>
      </c>
      <c r="H17" s="9" t="n">
        <f aca="false">H16-H15*SQRT($C$8)</f>
        <v>2.83185687075804E-005</v>
      </c>
      <c r="I17" s="9" t="n">
        <f aca="false">I16-I15*SQRT($C$8)</f>
        <v>2.83186408208402E-005</v>
      </c>
      <c r="J17" s="9" t="n">
        <f aca="false">J16-J15*SQRT($C$8)</f>
        <v>2.83186424251125E-005</v>
      </c>
      <c r="K17" s="9" t="n">
        <f aca="false">K16-K15*SQRT($C$8)</f>
        <v>2.8318642461167E-005</v>
      </c>
    </row>
    <row r="18" customFormat="false" ht="15" hidden="false" customHeight="false" outlineLevel="0" collapsed="false">
      <c r="B18" s="1" t="s">
        <v>65</v>
      </c>
      <c r="C18" s="23" t="n">
        <f aca="false">IF($C$5="Call",$C$6*EXP(-$C$10*$C$8)*NORMSDIST(C16)-$C$7*EXP(-$C$9*$C$8)*NORMSDIST(C17),$C$7*EXP(-$C$9*$C$8)*NORMSDIST(-C17)-$C$6*EXP(-$C$10*$C$8)*NORMSDIST(-C16))</f>
        <v>7.05097314275038</v>
      </c>
      <c r="D18" s="23" t="n">
        <f aca="false">IF($C$5="Call",$C$6*EXP(-$C$10*$C$8)*NORMSDIST(D16)-$C$7*EXP(-$C$9*$C$8)*NORMSDIST(D17),$C$7*EXP(-$C$9*$C$8)*NORMSDIST(-D17)-$C$6*EXP(-$C$10*$C$8)*NORMSDIST(-D16))</f>
        <v>6.53187150860688</v>
      </c>
      <c r="E18" s="23" t="n">
        <f aca="false">IF($C$5="Call",$C$6*EXP(-$C$10*$C$8)*NORMSDIST(E16)-$C$7*EXP(-$C$9*$C$8)*NORMSDIST(E17),$C$7*EXP(-$C$9*$C$8)*NORMSDIST(-E17)-$C$6*EXP(-$C$10*$C$8)*NORMSDIST(-E16))</f>
        <v>6.52026412694282</v>
      </c>
      <c r="F18" s="23" t="n">
        <f aca="false">IF($C$5="Call",$C$6*EXP(-$C$10*$C$8)*NORMSDIST(F16)-$C$7*EXP(-$C$9*$C$8)*NORMSDIST(F17),$C$7*EXP(-$C$9*$C$8)*NORMSDIST(-F17)-$C$6*EXP(-$C$10*$C$8)*NORMSDIST(-F16))</f>
        <v>6.52000587649785</v>
      </c>
      <c r="G18" s="23" t="n">
        <f aca="false">IF($C$5="Call",$C$6*EXP(-$C$10*$C$8)*NORMSDIST(G16)-$C$7*EXP(-$C$9*$C$8)*NORMSDIST(G17),$C$7*EXP(-$C$9*$C$8)*NORMSDIST(-G17)-$C$6*EXP(-$C$10*$C$8)*NORMSDIST(-G16))</f>
        <v>6.52000013074482</v>
      </c>
      <c r="H18" s="23" t="n">
        <f aca="false">IF($C$5="Call",$C$6*EXP(-$C$10*$C$8)*NORMSDIST(H16)-$C$7*EXP(-$C$9*$C$8)*NORMSDIST(H17),$C$7*EXP(-$C$9*$C$8)*NORMSDIST(-H17)-$C$6*EXP(-$C$10*$C$8)*NORMSDIST(-H16))</f>
        <v>6.5200000029089</v>
      </c>
      <c r="I18" s="23" t="n">
        <f aca="false">IF($C$5="Call",$C$6*EXP(-$C$10*$C$8)*NORMSDIST(I16)-$C$7*EXP(-$C$9*$C$8)*NORMSDIST(I17),$C$7*EXP(-$C$9*$C$8)*NORMSDIST(-I17)-$C$6*EXP(-$C$10*$C$8)*NORMSDIST(-I16))</f>
        <v>6.52000000006471</v>
      </c>
      <c r="J18" s="23" t="n">
        <f aca="false">IF($C$5="Call",$C$6*EXP(-$C$10*$C$8)*NORMSDIST(J16)-$C$7*EXP(-$C$9*$C$8)*NORMSDIST(J17),$C$7*EXP(-$C$9*$C$8)*NORMSDIST(-J17)-$C$6*EXP(-$C$10*$C$8)*NORMSDIST(-J16))</f>
        <v>6.52000000000145</v>
      </c>
      <c r="K18" s="23" t="n">
        <f aca="false">IF($C$5="Call",$C$6*EXP(-$C$10*$C$8)*NORMSDIST(K16)-$C$7*EXP(-$C$9*$C$8)*NORMSDIST(K17),$C$7*EXP(-$C$9*$C$8)*NORMSDIST(-K17)-$C$6*EXP(-$C$10*$C$8)*NORMSDIST(-K16))</f>
        <v>6.52000000000004</v>
      </c>
    </row>
    <row r="19" customFormat="false" ht="15" hidden="false" customHeight="false" outlineLevel="0" collapsed="false">
      <c r="B19" s="1" t="s">
        <v>66</v>
      </c>
      <c r="C19" s="9" t="n">
        <f aca="false">$C$6*EXP(-$C$10*$C$8)*(EXP(-C16^2/2)/SQRT(2*PI()))*SQRT($C$8)</f>
        <v>20.1744594708432</v>
      </c>
      <c r="D19" s="9" t="n">
        <f aca="false">$C$6*EXP(-$C$10*$C$8)*(EXP(-D16^2/2)/SQRT(2*PI()))*SQRT($C$8)</f>
        <v>20.1727868263002</v>
      </c>
      <c r="E19" s="9" t="n">
        <f aca="false">$C$6*EXP(-$C$10*$C$8)*(EXP(-E16^2/2)/SQRT(2*PI()))*SQRT($C$8)</f>
        <v>20.1727860827088</v>
      </c>
      <c r="F19" s="9" t="n">
        <f aca="false">$C$6*EXP(-$C$10*$C$8)*(EXP(-F16^2/2)/SQRT(2*PI()))*SQRT($C$8)</f>
        <v>20.1727860859971</v>
      </c>
      <c r="G19" s="9" t="n">
        <f aca="false">$C$6*EXP(-$C$10*$C$8)*(EXP(-G16^2/2)/SQRT(2*PI()))*SQRT($C$8)</f>
        <v>20.1727860860801</v>
      </c>
      <c r="H19" s="9" t="n">
        <f aca="false">$C$6*EXP(-$C$10*$C$8)*(EXP(-H16^2/2)/SQRT(2*PI()))*SQRT($C$8)</f>
        <v>20.172786086082</v>
      </c>
      <c r="I19" s="9" t="n">
        <f aca="false">$C$6*EXP(-$C$10*$C$8)*(EXP(-I16^2/2)/SQRT(2*PI()))*SQRT($C$8)</f>
        <v>20.172786086082</v>
      </c>
      <c r="J19" s="9" t="n">
        <f aca="false">$C$6*EXP(-$C$10*$C$8)*(EXP(-J16^2/2)/SQRT(2*PI()))*SQRT($C$8)</f>
        <v>20.172786086082</v>
      </c>
      <c r="K19" s="9" t="n">
        <f aca="false">$C$6*EXP(-$C$10*$C$8)*(EXP(-K16^2/2)/SQRT(2*PI()))*SQRT($C$8)</f>
        <v>20.172786086082</v>
      </c>
    </row>
    <row r="21" customFormat="false" ht="15" hidden="false" customHeight="false" outlineLevel="0" collapsed="false">
      <c r="B21" s="1" t="s">
        <v>67</v>
      </c>
      <c r="C21" s="24" t="n">
        <f aca="false">K15</f>
        <v>0.299943368061381</v>
      </c>
    </row>
    <row r="22" customFormat="false" ht="15" hidden="false" customHeight="false" outlineLevel="0" collapsed="false">
      <c r="B22" s="1" t="s">
        <v>68</v>
      </c>
      <c r="C22" s="23" t="n">
        <f aca="false">K18-C11</f>
        <v>3.90798504668055E-014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13" min="3" style="1" width="10"/>
    <col collapsed="false" customWidth="true" hidden="false" outlineLevel="0" max="14" min="14" style="1" width="40"/>
  </cols>
  <sheetData>
    <row r="2" customFormat="false" ht="19.7" hidden="false" customHeight="false" outlineLevel="0" collapsed="false">
      <c r="B2" s="2" t="s">
        <v>69</v>
      </c>
    </row>
    <row r="4" customFormat="false" ht="15" hidden="false" customHeight="false" outlineLevel="0" collapsed="false">
      <c r="B4" s="5" t="s">
        <v>11</v>
      </c>
    </row>
    <row r="5" customFormat="false" ht="15" hidden="false" customHeight="false" outlineLevel="0" collapsed="false">
      <c r="B5" s="6" t="s">
        <v>52</v>
      </c>
      <c r="C5" s="20" t="s">
        <v>31</v>
      </c>
    </row>
    <row r="6" customFormat="false" ht="15" hidden="false" customHeight="false" outlineLevel="0" collapsed="false">
      <c r="B6" s="6" t="s">
        <v>13</v>
      </c>
      <c r="C6" s="7" t="n">
        <v>100</v>
      </c>
    </row>
    <row r="7" customFormat="false" ht="15" hidden="false" customHeight="false" outlineLevel="0" collapsed="false">
      <c r="B7" s="6" t="s">
        <v>15</v>
      </c>
      <c r="C7" s="7" t="n">
        <v>100</v>
      </c>
    </row>
    <row r="8" customFormat="false" ht="15" hidden="false" customHeight="false" outlineLevel="0" collapsed="false">
      <c r="B8" s="6" t="s">
        <v>17</v>
      </c>
      <c r="C8" s="10" t="n">
        <v>1</v>
      </c>
    </row>
    <row r="9" customFormat="false" ht="15" hidden="false" customHeight="false" outlineLevel="0" collapsed="false">
      <c r="B9" s="6" t="s">
        <v>19</v>
      </c>
      <c r="C9" s="11" t="n">
        <v>0.045</v>
      </c>
    </row>
    <row r="10" customFormat="false" ht="15" hidden="false" customHeight="false" outlineLevel="0" collapsed="false">
      <c r="B10" s="6" t="s">
        <v>21</v>
      </c>
      <c r="C10" s="11" t="n">
        <v>0</v>
      </c>
    </row>
    <row r="11" customFormat="false" ht="15" hidden="false" customHeight="false" outlineLevel="0" collapsed="false">
      <c r="B11" s="6" t="s">
        <v>23</v>
      </c>
      <c r="C11" s="12" t="n">
        <v>0.3</v>
      </c>
    </row>
    <row r="14" customFormat="false" ht="15" hidden="false" customHeight="false" outlineLevel="0" collapsed="false">
      <c r="B14" s="5" t="s">
        <v>70</v>
      </c>
    </row>
    <row r="15" customFormat="false" ht="15" hidden="false" customHeight="false" outlineLevel="0" collapsed="false">
      <c r="B15" s="1" t="s">
        <v>71</v>
      </c>
      <c r="C15" s="25" t="n">
        <f aca="false">$C$8/10</f>
        <v>0.1</v>
      </c>
    </row>
    <row r="16" customFormat="false" ht="15" hidden="false" customHeight="false" outlineLevel="0" collapsed="false">
      <c r="B16" s="1" t="s">
        <v>72</v>
      </c>
      <c r="C16" s="25" t="n">
        <f aca="false">EXP($C$11*SQRT(C15))</f>
        <v>1.09951407236227</v>
      </c>
    </row>
    <row r="17" customFormat="false" ht="15" hidden="false" customHeight="false" outlineLevel="0" collapsed="false">
      <c r="B17" s="1" t="s">
        <v>73</v>
      </c>
      <c r="C17" s="25" t="n">
        <f aca="false">1/C16</f>
        <v>0.909492679663058</v>
      </c>
    </row>
    <row r="18" customFormat="false" ht="15" hidden="false" customHeight="false" outlineLevel="0" collapsed="false">
      <c r="B18" s="1" t="s">
        <v>74</v>
      </c>
      <c r="C18" s="25" t="n">
        <f aca="false">(EXP(($C$9-$C$10)*C15)-C17)/(C16-C17)</f>
        <v>0.500035597002224</v>
      </c>
    </row>
    <row r="19" customFormat="false" ht="15" hidden="false" customHeight="false" outlineLevel="0" collapsed="false">
      <c r="B19" s="1" t="s">
        <v>75</v>
      </c>
      <c r="C19" s="25" t="n">
        <f aca="false">EXP(-$C$9*C15)</f>
        <v>0.995510109829571</v>
      </c>
    </row>
    <row r="21" customFormat="false" ht="15" hidden="false" customHeight="false" outlineLevel="0" collapsed="false">
      <c r="B21" s="3" t="s">
        <v>76</v>
      </c>
    </row>
    <row r="22" customFormat="false" ht="15" hidden="false" customHeight="false" outlineLevel="0" collapsed="false">
      <c r="B22" s="1" t="s">
        <v>77</v>
      </c>
      <c r="C22" s="26" t="n">
        <f aca="false">$C$6*$C$16^0*$C$17^0</f>
        <v>100</v>
      </c>
    </row>
    <row r="23" customFormat="false" ht="15" hidden="false" customHeight="false" outlineLevel="0" collapsed="false">
      <c r="B23" s="1" t="s">
        <v>78</v>
      </c>
      <c r="C23" s="26" t="n">
        <f aca="false">$C$6*$C$16^0*$C$17^1</f>
        <v>90.9492679663057</v>
      </c>
      <c r="D23" s="26" t="n">
        <f aca="false">$C$6*$C$16^1*$C$17^0</f>
        <v>109.951407236227</v>
      </c>
    </row>
    <row r="24" customFormat="false" ht="15" hidden="false" customHeight="false" outlineLevel="0" collapsed="false">
      <c r="B24" s="1" t="s">
        <v>79</v>
      </c>
      <c r="C24" s="26" t="n">
        <f aca="false">$C$6*$C$16^0*$C$17^2</f>
        <v>82.7176934360689</v>
      </c>
      <c r="D24" s="26" t="n">
        <f aca="false">$C$6*$C$16^1*$C$17^1</f>
        <v>100</v>
      </c>
      <c r="E24" s="26" t="n">
        <f aca="false">$C$6*$C$16^2*$C$17^0</f>
        <v>120.893119532266</v>
      </c>
    </row>
    <row r="25" customFormat="false" ht="15" hidden="false" customHeight="false" outlineLevel="0" collapsed="false">
      <c r="B25" s="1" t="s">
        <v>80</v>
      </c>
      <c r="C25" s="26" t="n">
        <f aca="false">$C$6*$C$16^0*$C$17^3</f>
        <v>75.2311366587176</v>
      </c>
      <c r="D25" s="26" t="n">
        <f aca="false">$C$6*$C$16^1*$C$17^2</f>
        <v>90.9492679663057</v>
      </c>
      <c r="E25" s="26" t="n">
        <f aca="false">$C$6*$C$16^2*$C$17^1</f>
        <v>109.951407236227</v>
      </c>
      <c r="F25" s="26" t="n">
        <f aca="false">$C$6*$C$16^3*$C$17^0</f>
        <v>132.9236861775</v>
      </c>
    </row>
    <row r="26" customFormat="false" ht="15" hidden="false" customHeight="false" outlineLevel="0" collapsed="false">
      <c r="B26" s="1" t="s">
        <v>81</v>
      </c>
      <c r="C26" s="26" t="n">
        <f aca="false">$C$6*$C$16^0*$C$17^4</f>
        <v>68.4221680738347</v>
      </c>
      <c r="D26" s="26" t="n">
        <f aca="false">$C$6*$C$16^1*$C$17^3</f>
        <v>82.7176934360689</v>
      </c>
      <c r="E26" s="26" t="n">
        <f aca="false">$C$6*$C$16^2*$C$17^2</f>
        <v>100</v>
      </c>
      <c r="F26" s="26" t="n">
        <f aca="false">$C$6*$C$16^3*$C$17^1</f>
        <v>120.893119532266</v>
      </c>
      <c r="G26" s="26" t="n">
        <f aca="false">$C$6*$C$16^4*$C$17^0</f>
        <v>146.151463502427</v>
      </c>
    </row>
    <row r="27" customFormat="false" ht="15" hidden="false" customHeight="false" outlineLevel="0" collapsed="false">
      <c r="B27" s="1" t="s">
        <v>82</v>
      </c>
      <c r="C27" s="26" t="n">
        <f aca="false">$C$6*$C$16^0*$C$17^5</f>
        <v>62.2294609898281</v>
      </c>
      <c r="D27" s="26" t="n">
        <f aca="false">$C$6*$C$16^1*$C$17^4</f>
        <v>75.2311366587176</v>
      </c>
      <c r="E27" s="26" t="n">
        <f aca="false">$C$6*$C$16^2*$C$17^3</f>
        <v>90.9492679663058</v>
      </c>
      <c r="F27" s="26" t="n">
        <f aca="false">$C$6*$C$16^3*$C$17^2</f>
        <v>109.951407236227</v>
      </c>
      <c r="G27" s="26" t="n">
        <f aca="false">$C$6*$C$16^4*$C$17^1</f>
        <v>132.9236861775</v>
      </c>
      <c r="H27" s="26" t="n">
        <f aca="false">$C$6*$C$16^5*$C$17^0</f>
        <v>160.695590817259</v>
      </c>
    </row>
    <row r="28" customFormat="false" ht="15" hidden="false" customHeight="false" outlineLevel="0" collapsed="false">
      <c r="B28" s="1" t="s">
        <v>83</v>
      </c>
      <c r="C28" s="26" t="n">
        <f aca="false">$C$6*$C$16^0*$C$17^6</f>
        <v>56.5972392296264</v>
      </c>
      <c r="D28" s="26" t="n">
        <f aca="false">$C$6*$C$16^1*$C$17^5</f>
        <v>68.4221680738347</v>
      </c>
      <c r="E28" s="26" t="n">
        <f aca="false">$C$6*$C$16^2*$C$17^4</f>
        <v>82.7176934360689</v>
      </c>
      <c r="F28" s="26" t="n">
        <f aca="false">$C$6*$C$16^3*$C$17^3</f>
        <v>100</v>
      </c>
      <c r="G28" s="26" t="n">
        <f aca="false">$C$6*$C$16^4*$C$17^2</f>
        <v>120.893119532266</v>
      </c>
      <c r="H28" s="26" t="n">
        <f aca="false">$C$6*$C$16^5*$C$17^1</f>
        <v>146.151463502427</v>
      </c>
      <c r="I28" s="26" t="n">
        <f aca="false">$C$6*$C$16^6*$C$17^0</f>
        <v>176.687063470145</v>
      </c>
    </row>
    <row r="29" customFormat="false" ht="15" hidden="false" customHeight="false" outlineLevel="0" collapsed="false">
      <c r="B29" s="1" t="s">
        <v>84</v>
      </c>
      <c r="C29" s="26" t="n">
        <f aca="false">$C$6*$C$16^0*$C$17^7</f>
        <v>51.4747747684841</v>
      </c>
      <c r="D29" s="26" t="n">
        <f aca="false">$C$6*$C$16^1*$C$17^6</f>
        <v>62.2294609898281</v>
      </c>
      <c r="E29" s="26" t="n">
        <f aca="false">$C$6*$C$16^2*$C$17^5</f>
        <v>75.2311366587176</v>
      </c>
      <c r="F29" s="26" t="n">
        <f aca="false">$C$6*$C$16^3*$C$17^4</f>
        <v>90.9492679663058</v>
      </c>
      <c r="G29" s="26" t="n">
        <f aca="false">$C$6*$C$16^4*$C$17^3</f>
        <v>109.951407236227</v>
      </c>
      <c r="H29" s="26" t="n">
        <f aca="false">$C$6*$C$16^5*$C$17^2</f>
        <v>132.9236861775</v>
      </c>
      <c r="I29" s="26" t="n">
        <f aca="false">$C$6*$C$16^6*$C$17^1</f>
        <v>160.695590817259</v>
      </c>
      <c r="J29" s="26" t="n">
        <f aca="false">$C$6*$C$16^7*$C$17^0</f>
        <v>194.26991268979</v>
      </c>
    </row>
    <row r="30" customFormat="false" ht="15" hidden="false" customHeight="false" outlineLevel="0" collapsed="false">
      <c r="B30" s="1" t="s">
        <v>85</v>
      </c>
      <c r="C30" s="26" t="n">
        <f aca="false">$C$6*$C$16^0*$C$17^8</f>
        <v>46.8159308392409</v>
      </c>
      <c r="D30" s="26" t="n">
        <f aca="false">$C$6*$C$16^1*$C$17^7</f>
        <v>56.5972392296264</v>
      </c>
      <c r="E30" s="26" t="n">
        <f aca="false">$C$6*$C$16^2*$C$17^6</f>
        <v>68.4221680738347</v>
      </c>
      <c r="F30" s="26" t="n">
        <f aca="false">$C$6*$C$16^3*$C$17^5</f>
        <v>82.7176934360689</v>
      </c>
      <c r="G30" s="26" t="n">
        <f aca="false">$C$6*$C$16^4*$C$17^4</f>
        <v>100</v>
      </c>
      <c r="H30" s="26" t="n">
        <f aca="false">$C$6*$C$16^5*$C$17^3</f>
        <v>120.893119532266</v>
      </c>
      <c r="I30" s="26" t="n">
        <f aca="false">$C$6*$C$16^6*$C$17^2</f>
        <v>146.151463502427</v>
      </c>
      <c r="J30" s="26" t="n">
        <f aca="false">$C$6*$C$16^7*$C$17^1</f>
        <v>176.687063470145</v>
      </c>
      <c r="K30" s="26" t="n">
        <f aca="false">$C$6*$C$16^8*$C$17^0</f>
        <v>213.602502839013</v>
      </c>
    </row>
    <row r="31" customFormat="false" ht="15" hidden="false" customHeight="false" outlineLevel="0" collapsed="false">
      <c r="B31" s="1" t="s">
        <v>86</v>
      </c>
      <c r="C31" s="26" t="n">
        <f aca="false">$C$6*$C$16^0*$C$17^9</f>
        <v>42.5787463899016</v>
      </c>
      <c r="D31" s="26" t="n">
        <f aca="false">$C$6*$C$16^1*$C$17^8</f>
        <v>51.4747747684841</v>
      </c>
      <c r="E31" s="26" t="n">
        <f aca="false">$C$6*$C$16^2*$C$17^7</f>
        <v>62.2294609898281</v>
      </c>
      <c r="F31" s="26" t="n">
        <f aca="false">$C$6*$C$16^3*$C$17^6</f>
        <v>75.2311366587176</v>
      </c>
      <c r="G31" s="26" t="n">
        <f aca="false">$C$6*$C$16^4*$C$17^5</f>
        <v>90.9492679663058</v>
      </c>
      <c r="H31" s="26" t="n">
        <f aca="false">$C$6*$C$16^5*$C$17^4</f>
        <v>109.951407236227</v>
      </c>
      <c r="I31" s="26" t="n">
        <f aca="false">$C$6*$C$16^6*$C$17^3</f>
        <v>132.9236861775</v>
      </c>
      <c r="J31" s="26" t="n">
        <f aca="false">$C$6*$C$16^7*$C$17^2</f>
        <v>160.695590817259</v>
      </c>
      <c r="K31" s="26" t="n">
        <f aca="false">$C$6*$C$16^8*$C$17^1</f>
        <v>194.26991268979</v>
      </c>
      <c r="L31" s="26" t="n">
        <f aca="false">$C$6*$C$16^9*$C$17^0</f>
        <v>234.858957763296</v>
      </c>
    </row>
    <row r="32" customFormat="false" ht="15" hidden="false" customHeight="false" outlineLevel="0" collapsed="false">
      <c r="B32" s="1" t="s">
        <v>87</v>
      </c>
      <c r="C32" s="26" t="n">
        <f aca="false">$C$6*$C$16^0*$C$17^10</f>
        <v>38.7250581508453</v>
      </c>
      <c r="D32" s="26" t="n">
        <f aca="false">$C$6*$C$16^1*$C$17^9</f>
        <v>46.8159308392409</v>
      </c>
      <c r="E32" s="26" t="n">
        <f aca="false">$C$6*$C$16^2*$C$17^8</f>
        <v>56.5972392296264</v>
      </c>
      <c r="F32" s="26" t="n">
        <f aca="false">$C$6*$C$16^3*$C$17^7</f>
        <v>68.4221680738348</v>
      </c>
      <c r="G32" s="26" t="n">
        <f aca="false">$C$6*$C$16^4*$C$17^6</f>
        <v>82.7176934360689</v>
      </c>
      <c r="H32" s="26" t="n">
        <f aca="false">$C$6*$C$16^5*$C$17^5</f>
        <v>100</v>
      </c>
      <c r="I32" s="26" t="n">
        <f aca="false">$C$6*$C$16^6*$C$17^4</f>
        <v>120.893119532266</v>
      </c>
      <c r="J32" s="26" t="n">
        <f aca="false">$C$6*$C$16^7*$C$17^3</f>
        <v>146.151463502427</v>
      </c>
      <c r="K32" s="26" t="n">
        <f aca="false">$C$6*$C$16^8*$C$17^2</f>
        <v>176.687063470145</v>
      </c>
      <c r="L32" s="26" t="n">
        <f aca="false">$C$6*$C$16^9*$C$17^1</f>
        <v>213.602502839013</v>
      </c>
      <c r="M32" s="26" t="n">
        <f aca="false">$C$6*$C$16^10*$C$17^0</f>
        <v>258.23072908108</v>
      </c>
    </row>
    <row r="34" customFormat="false" ht="15" hidden="false" customHeight="false" outlineLevel="0" collapsed="false">
      <c r="B34" s="3" t="s">
        <v>88</v>
      </c>
    </row>
    <row r="35" customFormat="false" ht="15" hidden="false" customHeight="false" outlineLevel="0" collapsed="false">
      <c r="B35" s="1" t="s">
        <v>77</v>
      </c>
      <c r="C35" s="23" t="n">
        <f aca="false">MAX(IF($C$5="Call",MAX(C22-$C$7,0),MAX($C$7-C22,0)),$C$19*($C$18*D36+(1-$C$18)*C36))</f>
        <v>9.89580826557411</v>
      </c>
    </row>
    <row r="36" customFormat="false" ht="15" hidden="false" customHeight="false" outlineLevel="0" collapsed="false">
      <c r="B36" s="1" t="s">
        <v>78</v>
      </c>
      <c r="C36" s="23" t="n">
        <f aca="false">MAX(IF($C$5="Call",MAX(C23-$C$7,0),MAX($C$7-C23,0)),$C$19*($C$18*D37+(1-$C$18)*C37))</f>
        <v>13.8644189385278</v>
      </c>
      <c r="D36" s="23" t="n">
        <f aca="false">MAX(IF($C$5="Call",MAX(D23-$C$7,0),MAX($C$7-D23,0)),$C$19*($C$18*E37+(1-$C$18)*D37))</f>
        <v>6.01701924586019</v>
      </c>
    </row>
    <row r="37" customFormat="false" ht="15" hidden="false" customHeight="false" outlineLevel="0" collapsed="false">
      <c r="B37" s="1" t="s">
        <v>79</v>
      </c>
      <c r="C37" s="23" t="n">
        <f aca="false">MAX(IF($C$5="Call",MAX(C24-$C$7,0),MAX($C$7-C24,0)),$C$19*($C$18*D38+(1-$C$18)*C38))</f>
        <v>18.8637677645716</v>
      </c>
      <c r="D37" s="23" t="n">
        <f aca="false">MAX(IF($C$5="Call",MAX(D24-$C$7,0),MAX($C$7-D24,0)),$C$19*($C$18*E38+(1-$C$18)*D38))</f>
        <v>8.99083395271399</v>
      </c>
      <c r="E37" s="23" t="n">
        <f aca="false">MAX(IF($C$5="Call",MAX(E24-$C$7,0),MAX($C$7-E24,0)),$C$19*($C$18*F38+(1-$C$18)*E38))</f>
        <v>3.09789928144881</v>
      </c>
    </row>
    <row r="38" customFormat="false" ht="15" hidden="false" customHeight="false" outlineLevel="0" collapsed="false">
      <c r="B38" s="1" t="s">
        <v>80</v>
      </c>
      <c r="C38" s="23" t="n">
        <f aca="false">MAX(IF($C$5="Call",MAX(C25-$C$7,0),MAX($C$7-C25,0)),$C$19*($C$18*D39+(1-$C$18)*C39))</f>
        <v>24.8432783436396</v>
      </c>
      <c r="D38" s="23" t="n">
        <f aca="false">MAX(IF($C$5="Call",MAX(D25-$C$7,0),MAX($C$7-D25,0)),$C$19*($C$18*E39+(1-$C$18)*D39))</f>
        <v>13.0552528970502</v>
      </c>
      <c r="E38" s="23" t="n">
        <f aca="false">MAX(IF($C$5="Call",MAX(E25-$C$7,0),MAX($C$7-E25,0)),$C$19*($C$18*F39+(1-$C$18)*E39))</f>
        <v>5.0080877616543</v>
      </c>
      <c r="F38" s="23" t="n">
        <f aca="false">MAX(IF($C$5="Call",MAX(F25-$C$7,0),MAX($C$7-F25,0)),$C$19*($C$18*G39+(1-$C$18)*F39))</f>
        <v>1.21592470071529</v>
      </c>
    </row>
    <row r="39" customFormat="false" ht="15" hidden="false" customHeight="false" outlineLevel="0" collapsed="false">
      <c r="B39" s="1" t="s">
        <v>81</v>
      </c>
      <c r="C39" s="23" t="n">
        <f aca="false">MAX(IF($C$5="Call",MAX(C26-$C$7,0),MAX($C$7-C26,0)),$C$19*($C$18*D40+(1-$C$18)*C40))</f>
        <v>31.5778319261653</v>
      </c>
      <c r="D39" s="23" t="n">
        <f aca="false">MAX(IF($C$5="Call",MAX(D26-$C$7,0),MAX($C$7-D26,0)),$C$19*($C$18*E40+(1-$C$18)*D40))</f>
        <v>18.333760996502</v>
      </c>
      <c r="E39" s="23" t="n">
        <f aca="false">MAX(IF($C$5="Call",MAX(E26-$C$7,0),MAX($C$7-E26,0)),$C$19*($C$18*F40+(1-$C$18)*E40))</f>
        <v>7.89524999894114</v>
      </c>
      <c r="F39" s="23" t="n">
        <f aca="false">MAX(IF($C$5="Call",MAX(F26-$C$7,0),MAX($C$7-F26,0)),$C$19*($C$18*G40+(1-$C$18)*F40))</f>
        <v>2.16650773239388</v>
      </c>
      <c r="G39" s="23" t="n">
        <f aca="false">MAX(IF($C$5="Call",MAX(G26-$C$7,0),MAX($C$7-G26,0)),$C$19*($C$18*H40+(1-$C$18)*G40))</f>
        <v>0.276444211984309</v>
      </c>
    </row>
    <row r="40" customFormat="false" ht="15" hidden="false" customHeight="false" outlineLevel="0" collapsed="false">
      <c r="B40" s="1" t="s">
        <v>82</v>
      </c>
      <c r="C40" s="23" t="n">
        <f aca="false">MAX(IF($C$5="Call",MAX(C27-$C$7,0),MAX($C$7-C27,0)),$C$19*($C$18*D41+(1-$C$18)*C41))</f>
        <v>37.7705390101719</v>
      </c>
      <c r="D40" s="23" t="n">
        <f aca="false">MAX(IF($C$5="Call",MAX(D27-$C$7,0),MAX($C$7-D27,0)),$C$19*($C$18*E41+(1-$C$18)*D41))</f>
        <v>24.7688633412824</v>
      </c>
      <c r="E40" s="23" t="n">
        <f aca="false">MAX(IF($C$5="Call",MAX(E27-$C$7,0),MAX($C$7-E27,0)),$C$19*($C$18*F41+(1-$C$18)*E41))</f>
        <v>12.0649387601286</v>
      </c>
      <c r="F40" s="23" t="n">
        <f aca="false">MAX(IF($C$5="Call",MAX(F27-$C$7,0),MAX($C$7-F27,0)),$C$19*($C$18*G41+(1-$C$18)*F41))</f>
        <v>3.79736720817077</v>
      </c>
      <c r="G40" s="23" t="n">
        <f aca="false">MAX(IF($C$5="Call",MAX(G27-$C$7,0),MAX($C$7-G27,0)),$C$19*($C$18*H41+(1-$C$18)*G41))</f>
        <v>0.555421570964011</v>
      </c>
      <c r="H40" s="23" t="n">
        <f aca="false">MAX(IF($C$5="Call",MAX(H27-$C$7,0),MAX($C$7-H27,0)),$C$19*($C$18*I41+(1-$C$18)*H41))</f>
        <v>0</v>
      </c>
    </row>
    <row r="41" customFormat="false" ht="15" hidden="false" customHeight="false" outlineLevel="0" collapsed="false">
      <c r="B41" s="1" t="s">
        <v>83</v>
      </c>
      <c r="C41" s="23" t="n">
        <f aca="false">MAX(IF($C$5="Call",MAX(C28-$C$7,0),MAX($C$7-C28,0)),$C$19*($C$18*D42+(1-$C$18)*C42))</f>
        <v>43.4027607703736</v>
      </c>
      <c r="D41" s="23" t="n">
        <f aca="false">MAX(IF($C$5="Call",MAX(D28-$C$7,0),MAX($C$7-D28,0)),$C$19*($C$18*E42+(1-$C$18)*D42))</f>
        <v>31.5778319261653</v>
      </c>
      <c r="E41" s="23" t="n">
        <f aca="false">MAX(IF($C$5="Call",MAX(E28-$C$7,0),MAX($C$7-E28,0)),$C$19*($C$18*F42+(1-$C$18)*E42))</f>
        <v>17.7260655672186</v>
      </c>
      <c r="F41" s="23" t="n">
        <f aca="false">MAX(IF($C$5="Call",MAX(F28-$C$7,0),MAX($C$7-F28,0)),$C$19*($C$18*G42+(1-$C$18)*F42))</f>
        <v>6.51343935553516</v>
      </c>
      <c r="G41" s="23" t="n">
        <f aca="false">MAX(IF($C$5="Call",MAX(G28-$C$7,0),MAX($C$7-G28,0)),$C$19*($C$18*H42+(1-$C$18)*G42))</f>
        <v>1.11593264795734</v>
      </c>
      <c r="H41" s="23" t="n">
        <f aca="false">MAX(IF($C$5="Call",MAX(H28-$C$7,0),MAX($C$7-H28,0)),$C$19*($C$18*I42+(1-$C$18)*H42))</f>
        <v>0</v>
      </c>
      <c r="I41" s="23" t="n">
        <f aca="false">MAX(IF($C$5="Call",MAX(I28-$C$7,0),MAX($C$7-I28,0)),$C$19*($C$18*J42+(1-$C$18)*I42))</f>
        <v>0</v>
      </c>
    </row>
    <row r="42" customFormat="false" ht="15" hidden="false" customHeight="false" outlineLevel="0" collapsed="false">
      <c r="B42" s="1" t="s">
        <v>84</v>
      </c>
      <c r="C42" s="23" t="n">
        <f aca="false">MAX(IF($C$5="Call",MAX(C29-$C$7,0),MAX($C$7-C29,0)),$C$19*($C$18*D43+(1-$C$18)*C43))</f>
        <v>48.525225231516</v>
      </c>
      <c r="D42" s="23" t="n">
        <f aca="false">MAX(IF($C$5="Call",MAX(D29-$C$7,0),MAX($C$7-D29,0)),$C$19*($C$18*E43+(1-$C$18)*D43))</f>
        <v>37.7705390101719</v>
      </c>
      <c r="E42" s="23" t="n">
        <f aca="false">MAX(IF($C$5="Call",MAX(E29-$C$7,0),MAX($C$7-E29,0)),$C$19*($C$18*F43+(1-$C$18)*E43))</f>
        <v>24.7688633412824</v>
      </c>
      <c r="F42" s="23" t="n">
        <f aca="false">MAX(IF($C$5="Call",MAX(F29-$C$7,0),MAX($C$7-F29,0)),$C$19*($C$18*G43+(1-$C$18)*F43))</f>
        <v>10.8441532309965</v>
      </c>
      <c r="G42" s="23" t="n">
        <f aca="false">MAX(IF($C$5="Call",MAX(G29-$C$7,0),MAX($C$7-G29,0)),$C$19*($C$18*H43+(1-$C$18)*G43))</f>
        <v>2.24209094474973</v>
      </c>
      <c r="H42" s="23" t="n">
        <f aca="false">MAX(IF($C$5="Call",MAX(H29-$C$7,0),MAX($C$7-H29,0)),$C$19*($C$18*I43+(1-$C$18)*H43))</f>
        <v>0</v>
      </c>
      <c r="I42" s="23" t="n">
        <f aca="false">MAX(IF($C$5="Call",MAX(I29-$C$7,0),MAX($C$7-I29,0)),$C$19*($C$18*J43+(1-$C$18)*I43))</f>
        <v>0</v>
      </c>
      <c r="J42" s="23" t="n">
        <f aca="false">MAX(IF($C$5="Call",MAX(J29-$C$7,0),MAX($C$7-J29,0)),$C$19*($C$18*K43+(1-$C$18)*J43))</f>
        <v>0</v>
      </c>
    </row>
    <row r="43" customFormat="false" ht="15" hidden="false" customHeight="false" outlineLevel="0" collapsed="false">
      <c r="B43" s="1" t="s">
        <v>85</v>
      </c>
      <c r="C43" s="23" t="n">
        <f aca="false">MAX(IF($C$5="Call",MAX(C30-$C$7,0),MAX($C$7-C30,0)),$C$19*($C$18*D44+(1-$C$18)*C44))</f>
        <v>53.1840691607591</v>
      </c>
      <c r="D43" s="23" t="n">
        <f aca="false">MAX(IF($C$5="Call",MAX(D30-$C$7,0),MAX($C$7-D30,0)),$C$19*($C$18*E44+(1-$C$18)*D44))</f>
        <v>43.4027607703736</v>
      </c>
      <c r="E43" s="23" t="n">
        <f aca="false">MAX(IF($C$5="Call",MAX(E30-$C$7,0),MAX($C$7-E30,0)),$C$19*($C$18*F44+(1-$C$18)*E44))</f>
        <v>31.5778319261653</v>
      </c>
      <c r="F43" s="23" t="n">
        <f aca="false">MAX(IF($C$5="Call",MAX(F30-$C$7,0),MAX($C$7-F30,0)),$C$19*($C$18*G44+(1-$C$18)*F44))</f>
        <v>17.2823065639311</v>
      </c>
      <c r="G43" s="23" t="n">
        <f aca="false">MAX(IF($C$5="Call",MAX(G30-$C$7,0),MAX($C$7-G30,0)),$C$19*($C$18*H44+(1-$C$18)*G44))</f>
        <v>4.50472688807015</v>
      </c>
      <c r="H43" s="23" t="n">
        <f aca="false">MAX(IF($C$5="Call",MAX(H30-$C$7,0),MAX($C$7-H30,0)),$C$19*($C$18*I44+(1-$C$18)*H44))</f>
        <v>0</v>
      </c>
      <c r="I43" s="23" t="n">
        <f aca="false">MAX(IF($C$5="Call",MAX(I30-$C$7,0),MAX($C$7-I30,0)),$C$19*($C$18*J44+(1-$C$18)*I44))</f>
        <v>0</v>
      </c>
      <c r="J43" s="23" t="n">
        <f aca="false">MAX(IF($C$5="Call",MAX(J30-$C$7,0),MAX($C$7-J30,0)),$C$19*($C$18*K44+(1-$C$18)*J44))</f>
        <v>0</v>
      </c>
      <c r="K43" s="23" t="n">
        <f aca="false">MAX(IF($C$5="Call",MAX(K30-$C$7,0),MAX($C$7-K30,0)),$C$19*($C$18*L44+(1-$C$18)*K44))</f>
        <v>0</v>
      </c>
    </row>
    <row r="44" customFormat="false" ht="15" hidden="false" customHeight="false" outlineLevel="0" collapsed="false">
      <c r="B44" s="1" t="s">
        <v>86</v>
      </c>
      <c r="C44" s="23" t="n">
        <f aca="false">MAX(IF($C$5="Call",MAX(C31-$C$7,0),MAX($C$7-C31,0)),$C$19*($C$18*D45+(1-$C$18)*C45))</f>
        <v>57.4212536100984</v>
      </c>
      <c r="D44" s="23" t="n">
        <f aca="false">MAX(IF($C$5="Call",MAX(D31-$C$7,0),MAX($C$7-D31,0)),$C$19*($C$18*E45+(1-$C$18)*D45))</f>
        <v>48.525225231516</v>
      </c>
      <c r="E44" s="23" t="n">
        <f aca="false">MAX(IF($C$5="Call",MAX(E31-$C$7,0),MAX($C$7-E31,0)),$C$19*($C$18*F45+(1-$C$18)*E45))</f>
        <v>37.7705390101719</v>
      </c>
      <c r="F44" s="23" t="n">
        <f aca="false">MAX(IF($C$5="Call",MAX(F31-$C$7,0),MAX($C$7-F31,0)),$C$19*($C$18*G45+(1-$C$18)*F45))</f>
        <v>24.7688633412824</v>
      </c>
      <c r="G44" s="23" t="n">
        <f aca="false">MAX(IF($C$5="Call",MAX(G31-$C$7,0),MAX($C$7-G31,0)),$C$19*($C$18*H45+(1-$C$18)*G45))</f>
        <v>9.05073203369423</v>
      </c>
      <c r="H44" s="23" t="n">
        <f aca="false">MAX(IF($C$5="Call",MAX(H31-$C$7,0),MAX($C$7-H31,0)),$C$19*($C$18*I45+(1-$C$18)*H45))</f>
        <v>0</v>
      </c>
      <c r="I44" s="23" t="n">
        <f aca="false">MAX(IF($C$5="Call",MAX(I31-$C$7,0),MAX($C$7-I31,0)),$C$19*($C$18*J45+(1-$C$18)*I45))</f>
        <v>0</v>
      </c>
      <c r="J44" s="23" t="n">
        <f aca="false">MAX(IF($C$5="Call",MAX(J31-$C$7,0),MAX($C$7-J31,0)),$C$19*($C$18*K45+(1-$C$18)*J45))</f>
        <v>0</v>
      </c>
      <c r="K44" s="23" t="n">
        <f aca="false">MAX(IF($C$5="Call",MAX(K31-$C$7,0),MAX($C$7-K31,0)),$C$19*($C$18*L45+(1-$C$18)*K45))</f>
        <v>0</v>
      </c>
      <c r="L44" s="23" t="n">
        <f aca="false">MAX(IF($C$5="Call",MAX(L31-$C$7,0),MAX($C$7-L31,0)),$C$19*($C$18*M45+(1-$C$18)*L45))</f>
        <v>0</v>
      </c>
    </row>
    <row r="45" customFormat="false" ht="15" hidden="false" customHeight="false" outlineLevel="0" collapsed="false">
      <c r="B45" s="1" t="s">
        <v>87</v>
      </c>
      <c r="C45" s="23" t="n">
        <f aca="false">IF($C$5="Call",MAX(C32-$C$7,0),MAX($C$7-C32,0))</f>
        <v>61.2749418491547</v>
      </c>
      <c r="D45" s="23" t="n">
        <f aca="false">IF($C$5="Call",MAX(D32-$C$7,0),MAX($C$7-D32,0))</f>
        <v>53.1840691607591</v>
      </c>
      <c r="E45" s="23" t="n">
        <f aca="false">IF($C$5="Call",MAX(E32-$C$7,0),MAX($C$7-E32,0))</f>
        <v>43.4027607703736</v>
      </c>
      <c r="F45" s="23" t="n">
        <f aca="false">IF($C$5="Call",MAX(F32-$C$7,0),MAX($C$7-F32,0))</f>
        <v>31.5778319261652</v>
      </c>
      <c r="G45" s="23" t="n">
        <f aca="false">IF($C$5="Call",MAX(G32-$C$7,0),MAX($C$7-G32,0))</f>
        <v>17.2823065639311</v>
      </c>
      <c r="H45" s="23" t="n">
        <f aca="false">IF($C$5="Call",MAX(H32-$C$7,0),MAX($C$7-H32,0))</f>
        <v>0</v>
      </c>
      <c r="I45" s="23" t="n">
        <f aca="false">IF($C$5="Call",MAX(I32-$C$7,0),MAX($C$7-I32,0))</f>
        <v>0</v>
      </c>
      <c r="J45" s="23" t="n">
        <f aca="false">IF($C$5="Call",MAX(J32-$C$7,0),MAX($C$7-J32,0))</f>
        <v>0</v>
      </c>
      <c r="K45" s="23" t="n">
        <f aca="false">IF($C$5="Call",MAX(K32-$C$7,0),MAX($C$7-K32,0))</f>
        <v>0</v>
      </c>
      <c r="L45" s="23" t="n">
        <f aca="false">IF($C$5="Call",MAX(L32-$C$7,0),MAX($C$7-L32,0))</f>
        <v>0</v>
      </c>
      <c r="M45" s="23" t="n">
        <f aca="false">IF($C$5="Call",MAX(M32-$C$7,0),MAX($C$7-M32,0))</f>
        <v>0</v>
      </c>
    </row>
    <row r="47" customFormat="false" ht="15" hidden="false" customHeight="false" outlineLevel="0" collapsed="false">
      <c r="B47" s="3" t="s">
        <v>89</v>
      </c>
    </row>
    <row r="48" customFormat="false" ht="15" hidden="false" customHeight="false" outlineLevel="0" collapsed="false">
      <c r="B48" s="1" t="s">
        <v>77</v>
      </c>
      <c r="C48" s="23" t="n">
        <f aca="false">$C$19*($C$18*D49+(1-$C$18)*C49)</f>
        <v>9.3005182000858</v>
      </c>
    </row>
    <row r="49" customFormat="false" ht="15" hidden="false" customHeight="false" outlineLevel="0" collapsed="false">
      <c r="B49" s="1" t="s">
        <v>78</v>
      </c>
      <c r="C49" s="23" t="n">
        <f aca="false">$C$19*($C$18*D50+(1-$C$18)*C50)</f>
        <v>12.9997801249767</v>
      </c>
      <c r="D49" s="23" t="n">
        <f aca="false">$C$19*($C$18*E50+(1-$C$18)*D50)</f>
        <v>5.6856702780796</v>
      </c>
    </row>
    <row r="50" customFormat="false" ht="15" hidden="false" customHeight="false" outlineLevel="0" collapsed="false">
      <c r="B50" s="1" t="s">
        <v>79</v>
      </c>
      <c r="C50" s="23" t="n">
        <f aca="false">$C$19*($C$18*D51+(1-$C$18)*C51)</f>
        <v>17.6323070184479</v>
      </c>
      <c r="D50" s="23" t="n">
        <f aca="false">$C$19*($C$18*E51+(1-$C$18)*D51)</f>
        <v>8.48516611508087</v>
      </c>
      <c r="E50" s="23" t="n">
        <f aca="false">$C$19*($C$18*F51+(1-$C$18)*E51)</f>
        <v>2.93785571654206</v>
      </c>
    </row>
    <row r="51" customFormat="false" ht="15" hidden="false" customHeight="false" outlineLevel="0" collapsed="false">
      <c r="B51" s="1" t="s">
        <v>80</v>
      </c>
      <c r="C51" s="23" t="n">
        <f aca="false">$C$19*($C$18*D52+(1-$C$18)*C52)</f>
        <v>23.1250668209065</v>
      </c>
      <c r="D51" s="23" t="n">
        <f aca="false">$C$19*($C$18*E52+(1-$C$18)*D52)</f>
        <v>12.2993662945282</v>
      </c>
      <c r="E51" s="23" t="n">
        <f aca="false">$C$19*($C$18*F52+(1-$C$18)*E52)</f>
        <v>4.74804212231699</v>
      </c>
      <c r="F51" s="23" t="n">
        <f aca="false">$C$19*($C$18*G52+(1-$C$18)*F52)</f>
        <v>1.15442543709438</v>
      </c>
    </row>
    <row r="52" customFormat="false" ht="15" hidden="false" customHeight="false" outlineLevel="0" collapsed="false">
      <c r="B52" s="1" t="s">
        <v>81</v>
      </c>
      <c r="C52" s="23" t="n">
        <f aca="false">$C$19*($C$18*D53+(1-$C$18)*C53)</f>
        <v>29.2318504748071</v>
      </c>
      <c r="D52" s="23" t="n">
        <f aca="false">$C$19*($C$18*E53+(1-$C$18)*D53)</f>
        <v>17.2277323754495</v>
      </c>
      <c r="E52" s="23" t="n">
        <f aca="false">$C$19*($C$18*F53+(1-$C$18)*E53)</f>
        <v>7.4826377387499</v>
      </c>
      <c r="F52" s="23" t="n">
        <f aca="false">$C$19*($C$18*G53+(1-$C$18)*F53)</f>
        <v>2.0566614742004</v>
      </c>
      <c r="G52" s="23" t="n">
        <f aca="false">$C$19*($C$18*H53+(1-$C$18)*G53)</f>
        <v>0.262730358282314</v>
      </c>
    </row>
    <row r="53" customFormat="false" ht="15" hidden="false" customHeight="false" outlineLevel="0" collapsed="false">
      <c r="B53" s="1" t="s">
        <v>82</v>
      </c>
      <c r="C53" s="23" t="n">
        <f aca="false">$C$19*($C$18*D54+(1-$C$18)*C54)</f>
        <v>35.5456627295056</v>
      </c>
      <c r="D53" s="23" t="n">
        <f aca="false">$C$19*($C$18*E54+(1-$C$18)*D54)</f>
        <v>23.1825978843649</v>
      </c>
      <c r="E53" s="23" t="n">
        <f aca="false">$C$19*($C$18*F54+(1-$C$18)*E54)</f>
        <v>11.4291026217693</v>
      </c>
      <c r="F53" s="23" t="n">
        <f aca="false">$C$19*($C$18*G54+(1-$C$18)*F54)</f>
        <v>3.60422543067606</v>
      </c>
      <c r="G53" s="23" t="n">
        <f aca="false">$C$19*($C$18*H54+(1-$C$18)*G54)</f>
        <v>0.527868199119261</v>
      </c>
      <c r="H53" s="23" t="n">
        <f aca="false">$C$19*($C$18*I54+(1-$C$18)*H54)</f>
        <v>0</v>
      </c>
    </row>
    <row r="54" customFormat="false" ht="15" hidden="false" customHeight="false" outlineLevel="0" collapsed="false">
      <c r="B54" s="1" t="s">
        <v>83</v>
      </c>
      <c r="C54" s="23" t="n">
        <f aca="false">$C$19*($C$18*D55+(1-$C$18)*C55)</f>
        <v>41.6188640062037</v>
      </c>
      <c r="D54" s="23" t="n">
        <f aca="false">$C$19*($C$18*E55+(1-$C$18)*D55)</f>
        <v>29.7939351619953</v>
      </c>
      <c r="E54" s="23" t="n">
        <f aca="false">$C$19*($C$18*F55+(1-$C$18)*E55)</f>
        <v>16.7813005618307</v>
      </c>
      <c r="F54" s="23" t="n">
        <f aca="false">$C$19*($C$18*G55+(1-$C$18)*F55)</f>
        <v>6.18075308760581</v>
      </c>
      <c r="G54" s="23" t="n">
        <f aca="false">$C$19*($C$18*H55+(1-$C$18)*G55)</f>
        <v>1.06057342388274</v>
      </c>
      <c r="H54" s="23" t="n">
        <f aca="false">$C$19*($C$18*I55+(1-$C$18)*H55)</f>
        <v>0</v>
      </c>
      <c r="I54" s="23" t="n">
        <f aca="false">$C$19*($C$18*J55+(1-$C$18)*I55)</f>
        <v>0</v>
      </c>
    </row>
    <row r="55" customFormat="false" ht="15" hidden="false" customHeight="false" outlineLevel="0" collapsed="false">
      <c r="B55" s="1" t="s">
        <v>84</v>
      </c>
      <c r="C55" s="23" t="n">
        <f aca="false">$C$19*($C$18*D56+(1-$C$18)*C56)</f>
        <v>47.1842968632892</v>
      </c>
      <c r="D55" s="23" t="n">
        <f aca="false">$C$19*($C$18*E56+(1-$C$18)*D56)</f>
        <v>36.4296106419452</v>
      </c>
      <c r="E55" s="23" t="n">
        <f aca="false">$C$19*($C$18*F56+(1-$C$18)*E56)</f>
        <v>23.4279349730557</v>
      </c>
      <c r="F55" s="23" t="n">
        <f aca="false">$C$19*($C$18*G56+(1-$C$18)*F56)</f>
        <v>10.2869737449568</v>
      </c>
      <c r="G55" s="23" t="n">
        <f aca="false">$C$19*($C$18*H56+(1-$C$18)*G56)</f>
        <v>2.13086522227156</v>
      </c>
      <c r="H55" s="23" t="n">
        <f aca="false">$C$19*($C$18*I56+(1-$C$18)*H56)</f>
        <v>0</v>
      </c>
      <c r="I55" s="23" t="n">
        <f aca="false">$C$19*($C$18*J56+(1-$C$18)*I56)</f>
        <v>0</v>
      </c>
      <c r="J55" s="23" t="n">
        <f aca="false">$C$19*($C$18*K56+(1-$C$18)*J56)</f>
        <v>0</v>
      </c>
    </row>
    <row r="56" customFormat="false" ht="15" hidden="false" customHeight="false" outlineLevel="0" collapsed="false">
      <c r="B56" s="1" t="s">
        <v>85</v>
      </c>
      <c r="C56" s="23" t="n">
        <f aca="false">$C$19*($C$18*D57+(1-$C$18)*C57)</f>
        <v>52.2881070380475</v>
      </c>
      <c r="D56" s="23" t="n">
        <f aca="false">$C$19*($C$18*E57+(1-$C$18)*D57)</f>
        <v>42.5067986476619</v>
      </c>
      <c r="E56" s="23" t="n">
        <f aca="false">$C$19*($C$18*F57+(1-$C$18)*E57)</f>
        <v>30.6818698034536</v>
      </c>
      <c r="F56" s="23" t="n">
        <f aca="false">$C$19*($C$18*G57+(1-$C$18)*F57)</f>
        <v>16.3863444412195</v>
      </c>
      <c r="G56" s="23" t="n">
        <f aca="false">$C$19*($C$18*H57+(1-$C$18)*G57)</f>
        <v>4.28125624613845</v>
      </c>
      <c r="H56" s="23" t="n">
        <f aca="false">$C$19*($C$18*I57+(1-$C$18)*H57)</f>
        <v>0</v>
      </c>
      <c r="I56" s="23" t="n">
        <f aca="false">$C$19*($C$18*J57+(1-$C$18)*I57)</f>
        <v>0</v>
      </c>
      <c r="J56" s="23" t="n">
        <f aca="false">$C$19*($C$18*K57+(1-$C$18)*J57)</f>
        <v>0</v>
      </c>
      <c r="K56" s="23" t="n">
        <f aca="false">$C$19*($C$18*L57+(1-$C$18)*K57)</f>
        <v>0</v>
      </c>
    </row>
    <row r="57" customFormat="false" ht="15" hidden="false" customHeight="false" outlineLevel="0" collapsed="false">
      <c r="B57" s="1" t="s">
        <v>86</v>
      </c>
      <c r="C57" s="23" t="n">
        <f aca="false">$C$19*($C$18*D58+(1-$C$18)*C58)</f>
        <v>56.9722645930555</v>
      </c>
      <c r="D57" s="23" t="n">
        <f aca="false">$C$19*($C$18*E58+(1-$C$18)*D58)</f>
        <v>48.076236214473</v>
      </c>
      <c r="E57" s="23" t="n">
        <f aca="false">$C$19*($C$18*F58+(1-$C$18)*E58)</f>
        <v>37.321549993129</v>
      </c>
      <c r="F57" s="23" t="n">
        <f aca="false">$C$19*($C$18*G58+(1-$C$18)*F58)</f>
        <v>24.3198743242395</v>
      </c>
      <c r="G57" s="23" t="n">
        <f aca="false">$C$19*($C$18*H58+(1-$C$18)*G58)</f>
        <v>8.60174301665131</v>
      </c>
      <c r="H57" s="23" t="n">
        <f aca="false">$C$19*($C$18*I58+(1-$C$18)*H58)</f>
        <v>0</v>
      </c>
      <c r="I57" s="23" t="n">
        <f aca="false">$C$19*($C$18*J58+(1-$C$18)*I58)</f>
        <v>0</v>
      </c>
      <c r="J57" s="23" t="n">
        <f aca="false">$C$19*($C$18*K58+(1-$C$18)*J58)</f>
        <v>0</v>
      </c>
      <c r="K57" s="23" t="n">
        <f aca="false">$C$19*($C$18*L58+(1-$C$18)*K58)</f>
        <v>0</v>
      </c>
      <c r="L57" s="23" t="n">
        <f aca="false">$C$19*($C$18*M58+(1-$C$18)*L58)</f>
        <v>0</v>
      </c>
    </row>
    <row r="58" customFormat="false" ht="15" hidden="false" customHeight="false" outlineLevel="0" collapsed="false">
      <c r="B58" s="1" t="s">
        <v>87</v>
      </c>
      <c r="C58" s="23" t="n">
        <f aca="false">IF($C$5="Call",MAX(C32-$C$7,0),MAX($C$7-C32,0))</f>
        <v>61.2749418491547</v>
      </c>
      <c r="D58" s="23" t="n">
        <f aca="false">IF($C$5="Call",MAX(D32-$C$7,0),MAX($C$7-D32,0))</f>
        <v>53.1840691607591</v>
      </c>
      <c r="E58" s="23" t="n">
        <f aca="false">IF($C$5="Call",MAX(E32-$C$7,0),MAX($C$7-E32,0))</f>
        <v>43.4027607703736</v>
      </c>
      <c r="F58" s="23" t="n">
        <f aca="false">IF($C$5="Call",MAX(F32-$C$7,0),MAX($C$7-F32,0))</f>
        <v>31.5778319261652</v>
      </c>
      <c r="G58" s="23" t="n">
        <f aca="false">IF($C$5="Call",MAX(G32-$C$7,0),MAX($C$7-G32,0))</f>
        <v>17.2823065639311</v>
      </c>
      <c r="H58" s="23" t="n">
        <f aca="false">IF($C$5="Call",MAX(H32-$C$7,0),MAX($C$7-H32,0))</f>
        <v>0</v>
      </c>
      <c r="I58" s="23" t="n">
        <f aca="false">IF($C$5="Call",MAX(I32-$C$7,0),MAX($C$7-I32,0))</f>
        <v>0</v>
      </c>
      <c r="J58" s="23" t="n">
        <f aca="false">IF($C$5="Call",MAX(J32-$C$7,0),MAX($C$7-J32,0))</f>
        <v>0</v>
      </c>
      <c r="K58" s="23" t="n">
        <f aca="false">IF($C$5="Call",MAX(K32-$C$7,0),MAX($C$7-K32,0))</f>
        <v>0</v>
      </c>
      <c r="L58" s="23" t="n">
        <f aca="false">IF($C$5="Call",MAX(L32-$C$7,0),MAX($C$7-L32,0))</f>
        <v>0</v>
      </c>
      <c r="M58" s="23" t="n">
        <f aca="false">IF($C$5="Call",MAX(M32-$C$7,0),MAX($C$7-M32,0))</f>
        <v>0</v>
      </c>
    </row>
    <row r="61" customFormat="false" ht="15" hidden="false" customHeight="false" outlineLevel="0" collapsed="false">
      <c r="B61" s="3" t="s">
        <v>90</v>
      </c>
      <c r="C61" s="27" t="n">
        <f aca="false">C35</f>
        <v>9.89580826557411</v>
      </c>
    </row>
    <row r="62" customFormat="false" ht="15" hidden="false" customHeight="false" outlineLevel="0" collapsed="false">
      <c r="B62" s="1" t="s">
        <v>91</v>
      </c>
      <c r="C62" s="23" t="n">
        <f aca="false">C48</f>
        <v>9.3005182000858</v>
      </c>
    </row>
    <row r="63" customFormat="false" ht="15" hidden="false" customHeight="false" outlineLevel="0" collapsed="false">
      <c r="B63" s="1" t="s">
        <v>92</v>
      </c>
      <c r="C63" s="13" t="n">
        <f aca="false">C61-C62</f>
        <v>0.595290065488301</v>
      </c>
      <c r="D63" s="15" t="s">
        <v>93</v>
      </c>
    </row>
    <row r="64" customFormat="false" ht="15" hidden="false" customHeight="false" outlineLevel="0" collapsed="false">
      <c r="B64" s="1" t="s">
        <v>94</v>
      </c>
      <c r="C64" s="23" t="n">
        <f aca="false">IF($C$5="Call",$C$6*EXP(-$C$10*$C$8)*NORMSDIST((LN($C$6/$C$7)+($C$9-$C$10+0.5*$C$11^2)*$C$8)/($C$11*SQRT($C$8)))-$C$7*EXP(-$C$9*$C$8)*NORMSDIST((LN($C$6/$C$7)+($C$9-$C$10+0.5*$C$11^2)*$C$8)/($C$11*SQRT($C$8))-$C$11*SQRT($C$8)),$C$7*EXP(-$C$9*$C$8)*NORMSDIST(-((LN($C$6/$C$7)+($C$9-$C$10+0.5*$C$11^2)*$C$8)/($C$11*SQRT($C$8))-$C$11*SQRT($C$8)))-$C$6*EXP(-$C$10*$C$8)*NORMSDIST(-((LN($C$6/$C$7)+($C$9-$C$10+0.5*$C$11^2)*$C$8)/($C$11*SQRT($C$8)))))</f>
        <v>9.59101631055026</v>
      </c>
      <c r="D64" s="15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5" min="4" style="1" width="30"/>
    <col collapsed="false" customWidth="true" hidden="false" outlineLevel="0" max="6" min="6" style="1" width="16"/>
  </cols>
  <sheetData>
    <row r="2" customFormat="false" ht="19.7" hidden="false" customHeight="false" outlineLevel="0" collapsed="false">
      <c r="B2" s="2" t="s">
        <v>96</v>
      </c>
    </row>
    <row r="4" customFormat="false" ht="15" hidden="false" customHeight="false" outlineLevel="0" collapsed="false">
      <c r="B4" s="14" t="s">
        <v>97</v>
      </c>
      <c r="C4" s="14" t="s">
        <v>98</v>
      </c>
      <c r="D4" s="14" t="s">
        <v>99</v>
      </c>
      <c r="E4" s="14" t="s">
        <v>100</v>
      </c>
      <c r="F4" s="14" t="s">
        <v>101</v>
      </c>
    </row>
    <row r="5" customFormat="false" ht="15" hidden="false" customHeight="false" outlineLevel="0" collapsed="false">
      <c r="B5" s="18"/>
      <c r="C5" s="18"/>
      <c r="D5" s="18"/>
      <c r="E5" s="18"/>
      <c r="F5" s="18"/>
    </row>
    <row r="6" customFormat="false" ht="15" hidden="false" customHeight="false" outlineLevel="0" collapsed="false">
      <c r="B6" s="18"/>
      <c r="C6" s="18"/>
      <c r="D6" s="18"/>
      <c r="E6" s="18"/>
      <c r="F6" s="18"/>
    </row>
    <row r="7" customFormat="false" ht="15" hidden="false" customHeight="false" outlineLevel="0" collapsed="false">
      <c r="B7" s="18"/>
      <c r="C7" s="18"/>
      <c r="D7" s="18"/>
      <c r="E7" s="18"/>
      <c r="F7" s="18"/>
    </row>
    <row r="8" customFormat="false" ht="15" hidden="false" customHeight="false" outlineLevel="0" collapsed="false">
      <c r="B8" s="18"/>
      <c r="C8" s="18"/>
      <c r="D8" s="18"/>
      <c r="E8" s="18"/>
      <c r="F8" s="18"/>
    </row>
    <row r="9" customFormat="false" ht="15" hidden="false" customHeight="false" outlineLevel="0" collapsed="false">
      <c r="B9" s="18"/>
      <c r="C9" s="18"/>
      <c r="D9" s="18"/>
      <c r="E9" s="18"/>
      <c r="F9" s="18"/>
    </row>
    <row r="10" customFormat="false" ht="15" hidden="false" customHeight="false" outlineLevel="0" collapsed="false">
      <c r="B10" s="18"/>
      <c r="C10" s="18"/>
      <c r="D10" s="18"/>
      <c r="E10" s="18"/>
      <c r="F10" s="18"/>
    </row>
    <row r="11" customFormat="false" ht="15" hidden="false" customHeight="false" outlineLevel="0" collapsed="false">
      <c r="B11" s="18"/>
      <c r="C11" s="18"/>
      <c r="D11" s="18"/>
      <c r="E11" s="18"/>
      <c r="F11" s="18"/>
    </row>
    <row r="12" customFormat="false" ht="15" hidden="false" customHeight="false" outlineLevel="0" collapsed="false">
      <c r="B12" s="18"/>
      <c r="C12" s="18"/>
      <c r="D12" s="18"/>
      <c r="E12" s="18"/>
      <c r="F12" s="18"/>
    </row>
    <row r="13" customFormat="false" ht="15" hidden="false" customHeight="false" outlineLevel="0" collapsed="false">
      <c r="B13" s="18"/>
      <c r="C13" s="18"/>
      <c r="D13" s="18"/>
      <c r="E13" s="18"/>
      <c r="F13" s="18"/>
    </row>
    <row r="14" customFormat="false" ht="15" hidden="false" customHeight="false" outlineLevel="0" collapsed="false">
      <c r="B14" s="18"/>
      <c r="C14" s="18"/>
      <c r="D14" s="18"/>
      <c r="E14" s="18"/>
      <c r="F14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2026-08-04T02:28:54Z</dcterms:created>
  <dc:creator>openpyxl</dc:creator>
  <dc:description/>
  <dc:language>en-US</dc:language>
  <cp:lastModifiedBy/>
  <dcterms:modified xsi:type="dcterms:W3CDTF">2026-08-04T02:28:54Z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