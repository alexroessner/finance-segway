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Property Pro Forma" sheetId="2" state="visible" r:id="rId4"/>
    <sheet name="Cap Rate &amp; Valuation" sheetId="3" state="visible" r:id="rId5"/>
    <sheet name="REIT FFO-AFFO" sheetId="4" state="visible" r:id="rId6"/>
    <sheet name="5-Year Hold &amp; IRR" sheetId="5" state="visible" r:id="rId7"/>
    <sheet name="Refresh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<sst xmlns="http://schemas.openxmlformats.org/spreadsheetml/2006/main" count="77" uniqueCount="72">
  <si>
    <t xml:space="preserve">[PROPERTY/REIT] — Real Estate Model</t>
  </si>
  <si>
    <t xml:space="preserve">Property type:</t>
  </si>
  <si>
    <t xml:space="preserve">Office / Multifamily / Industrial / Retail</t>
  </si>
  <si>
    <t xml:space="preserve">Location:</t>
  </si>
  <si>
    <t xml:space="preserve">[fill in]</t>
  </si>
  <si>
    <t xml:space="preserve">Last refreshed:</t>
  </si>
  <si>
    <t xml:space="preserve">[date]</t>
  </si>
  <si>
    <t xml:space="preserve">Refresh cadence:</t>
  </si>
  <si>
    <t xml:space="preserve">Weekly</t>
  </si>
  <si>
    <t xml:space="preserve">Property Pro Forma (annual, $)</t>
  </si>
  <si>
    <t xml:space="preserve">Gross potential rent</t>
  </si>
  <si>
    <t xml:space="preserve">- Vacancy &amp; credit loss</t>
  </si>
  <si>
    <t xml:space="preserve">Effective gross income</t>
  </si>
  <si>
    <t xml:space="preserve">+ Other income (parking, fees)</t>
  </si>
  <si>
    <t xml:space="preserve">Total revenue</t>
  </si>
  <si>
    <t xml:space="preserve">- Operating expenses (taxes, insurance, mgmt, R&amp;M)</t>
  </si>
  <si>
    <t xml:space="preserve">Net Operating Income (NOI)</t>
  </si>
  <si>
    <t xml:space="preserve">- Capex reserve</t>
  </si>
  <si>
    <t xml:space="preserve">- Debt service (P&amp;I)</t>
  </si>
  <si>
    <t xml:space="preserve">Cash flow before tax</t>
  </si>
  <si>
    <t xml:space="preserve">Cap Rate Valuation</t>
  </si>
  <si>
    <t xml:space="preserve">NOI (from pro forma)</t>
  </si>
  <si>
    <t xml:space="preserve">Market cap rate %</t>
  </si>
  <si>
    <t xml:space="preserve">Implied value (NOI / cap rate)</t>
  </si>
  <si>
    <t xml:space="preserve">Purchase price ($)</t>
  </si>
  <si>
    <t xml:space="preserve">Going-in cap rate (NOI / price)</t>
  </si>
  <si>
    <t xml:space="preserve">Debt amount</t>
  </si>
  <si>
    <t xml:space="preserve">Cash-on-cash return</t>
  </si>
  <si>
    <t xml:space="preserve">REIT FFO / AFFO</t>
  </si>
  <si>
    <t xml:space="preserve">Net income (GAAP)</t>
  </si>
  <si>
    <t xml:space="preserve">+ Real estate depreciation &amp; amortization</t>
  </si>
  <si>
    <t xml:space="preserve">- Gains on property sales</t>
  </si>
  <si>
    <t xml:space="preserve">FFO (Funds From Operations)</t>
  </si>
  <si>
    <t xml:space="preserve">- Recurring capex / leasing costs</t>
  </si>
  <si>
    <t xml:space="preserve">- Straight-line rent adjustment</t>
  </si>
  <si>
    <t xml:space="preserve">AFFO (Adjusted FFO)</t>
  </si>
  <si>
    <t xml:space="preserve">AFFO is the better proxy for sustainable dividend-paying capacity</t>
  </si>
  <si>
    <t xml:space="preserve">Shares/units outstanding</t>
  </si>
  <si>
    <t xml:space="preserve">FFO / share</t>
  </si>
  <si>
    <t xml:space="preserve">AFFO / share</t>
  </si>
  <si>
    <t xml:space="preserve">5-Year Hold — Levered Cash Flow &amp; IRR</t>
  </si>
  <si>
    <t xml:space="preserve">Assumptions</t>
  </si>
  <si>
    <t xml:space="preserve">NOI growth rate (%/yr)</t>
  </si>
  <si>
    <t xml:space="preserve">Exit cap rate (%)</t>
  </si>
  <si>
    <t xml:space="preserve">Selling costs (% of exit value)</t>
  </si>
  <si>
    <t xml:space="preserve">Annual debt service ($, assumed constant / interest-only)</t>
  </si>
  <si>
    <t xml:space="preserve">Initial equity (purchase price - debt)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</si>
  <si>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</si>
  <si>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</si>
  <si>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</si>
  <si>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</si>
  <si>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</si>
  <si>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NOI</t>
  </si>
  <si>
    <t xml:space="preserve">Debt service</t>
  </si>
  <si>
    <t xml:space="preserve">Levered cash flow</t>
  </si>
  <si>
    <t xml:space="preserve">DSCR (NOI / debt service)</t>
  </si>
  <si>
    <t xml:space="preserve">Exit (end of Yr5)</t>
  </si>
  <si>
    <t xml:space="preserve">Forward NOI (Yr6, for exit cap)</t>
  </si>
  <si>
    <t xml:space="preserve">Exit value (forward NOI / exit cap rate)</t>
  </si>
  <si>
    <t xml:space="preserve">Less: selling costs</t>
  </si>
  <si>
    <t xml:space="preserve">Less: debt payoff (assumed interest-only, balance unchanged)</t>
  </si>
  <si>
    <t xml:space="preserve">Net exit equity proceeds</t>
  </si>
  <si>
    <t xml:space="preserve">Yr0</t>
  </si>
  <si>
    <t xml:space="preserve">Equity cash flow</t>
  </si>
  <si>
    <t xml:space="preserve">Levered IRR</t>
  </si>
  <si>
    <t xml:space="preserve">Equity multiple (MOIC)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</si>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</sst>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\$#,##0.00;&quot;($&quot;#,##0.00\);\-"/>
    <numFmt numFmtId="169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6</v>
      </c>
    </row>
    <row r="7" customFormat="false" ht="15" hidden="false" customHeight="false" outlineLevel="0" collapsed="false">
      <c r="B7" s="3" t="s">
        <v>7</v>
      </c>
      <c r="C7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5" min="3" style="1" width="14"/>
  </cols>
  <sheetData>
    <row r="2" customFormat="false" ht="19.7" hidden="false" customHeight="false" outlineLevel="0" collapsed="false">
      <c r="B2" s="2" t="s">
        <v>9</v>
      </c>
    </row>
    <row r="5" customFormat="false" ht="15" hidden="false" customHeight="false" outlineLevel="0" collapsed="false">
      <c r="B5" s="5" t="s">
        <v>10</v>
      </c>
      <c r="C5" s="6" t="n">
        <v>0</v>
      </c>
    </row>
    <row r="6" customFormat="false" ht="15" hidden="false" customHeight="false" outlineLevel="0" collapsed="false">
      <c r="B6" s="5" t="s">
        <v>11</v>
      </c>
      <c r="C6" s="6" t="n">
        <v>0</v>
      </c>
    </row>
    <row r="7" customFormat="false" ht="15" hidden="false" customHeight="false" outlineLevel="0" collapsed="false">
      <c r="B7" s="5" t="s">
        <v>12</v>
      </c>
      <c r="C7" s="7" t="n">
        <f aca="false">C5+C6</f>
        <v>0</v>
      </c>
    </row>
    <row r="8" customFormat="false" ht="15" hidden="false" customHeight="false" outlineLevel="0" collapsed="false">
      <c r="B8" s="5" t="s">
        <v>13</v>
      </c>
      <c r="C8" s="6" t="n">
        <v>0</v>
      </c>
    </row>
    <row r="9" customFormat="false" ht="15" hidden="false" customHeight="false" outlineLevel="0" collapsed="false">
      <c r="B9" s="3" t="s">
        <v>14</v>
      </c>
      <c r="C9" s="8" t="n">
        <f aca="false">C7+C8</f>
        <v>0</v>
      </c>
    </row>
    <row r="10" customFormat="false" ht="15" hidden="false" customHeight="false" outlineLevel="0" collapsed="false">
      <c r="B10" s="5" t="s">
        <v>15</v>
      </c>
      <c r="C10" s="6" t="n">
        <v>0</v>
      </c>
    </row>
    <row r="11" customFormat="false" ht="15" hidden="false" customHeight="false" outlineLevel="0" collapsed="false">
      <c r="B11" s="3" t="s">
        <v>16</v>
      </c>
      <c r="C11" s="8" t="n">
        <f aca="false">C9+C10</f>
        <v>0</v>
      </c>
    </row>
    <row r="12" customFormat="false" ht="15" hidden="false" customHeight="false" outlineLevel="0" collapsed="false">
      <c r="B12" s="5" t="s">
        <v>17</v>
      </c>
      <c r="C12" s="6" t="n">
        <v>0</v>
      </c>
    </row>
    <row r="13" customFormat="false" ht="15" hidden="false" customHeight="false" outlineLevel="0" collapsed="false">
      <c r="B13" s="5" t="s">
        <v>18</v>
      </c>
      <c r="C13" s="6" t="n">
        <v>0</v>
      </c>
    </row>
    <row r="14" customFormat="false" ht="15" hidden="false" customHeight="false" outlineLevel="0" collapsed="false">
      <c r="B14" s="3" t="s">
        <v>19</v>
      </c>
      <c r="C14" s="8" t="n">
        <f aca="false">C11+C12+C13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20</v>
      </c>
    </row>
    <row r="4" customFormat="false" ht="15" hidden="false" customHeight="false" outlineLevel="0" collapsed="false">
      <c r="B4" s="1" t="s">
        <v>21</v>
      </c>
      <c r="C4" s="9" t="n">
        <f aca="false">'Property Pro Forma'!C11</f>
        <v>0</v>
      </c>
    </row>
    <row r="5" customFormat="false" ht="15" hidden="false" customHeight="false" outlineLevel="0" collapsed="false">
      <c r="B5" s="1" t="s">
        <v>22</v>
      </c>
      <c r="C5" s="10" t="n">
        <v>0.06</v>
      </c>
    </row>
    <row r="6" customFormat="false" ht="15" hidden="false" customHeight="false" outlineLevel="0" collapsed="false">
      <c r="B6" s="1" t="s">
        <v>23</v>
      </c>
      <c r="C6" s="8" t="n">
        <f aca="false">IFERROR(C4/C5,"-")</f>
        <v>0</v>
      </c>
    </row>
    <row r="8" customFormat="false" ht="15" hidden="false" customHeight="false" outlineLevel="0" collapsed="false">
      <c r="B8" s="1" t="s">
        <v>24</v>
      </c>
      <c r="C8" s="6" t="n">
        <v>0</v>
      </c>
    </row>
    <row r="9" customFormat="false" ht="15" hidden="false" customHeight="false" outlineLevel="0" collapsed="false">
      <c r="B9" s="1" t="s">
        <v>25</v>
      </c>
      <c r="C9" s="11" t="str">
        <f aca="false">IFERROR(C4/C8,"-")</f>
        <v>-</v>
      </c>
    </row>
    <row r="10" customFormat="false" ht="15" hidden="false" customHeight="false" outlineLevel="0" collapsed="false">
      <c r="B10" s="1" t="s">
        <v>26</v>
      </c>
      <c r="C10" s="6" t="n">
        <v>0</v>
      </c>
    </row>
    <row r="11" customFormat="false" ht="15" hidden="false" customHeight="false" outlineLevel="0" collapsed="false">
      <c r="B11" s="1" t="s">
        <v>27</v>
      </c>
      <c r="C11" s="11" t="str">
        <f aca="false">IFERROR('Property Pro Forma'!C14/(C8-C10),"-")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28</v>
      </c>
    </row>
    <row r="4" customFormat="false" ht="15" hidden="false" customHeight="false" outlineLevel="0" collapsed="false">
      <c r="B4" s="1" t="s">
        <v>29</v>
      </c>
      <c r="C4" s="6" t="n">
        <v>0</v>
      </c>
    </row>
    <row r="5" customFormat="false" ht="15" hidden="false" customHeight="false" outlineLevel="0" collapsed="false">
      <c r="B5" s="1" t="s">
        <v>30</v>
      </c>
      <c r="C5" s="6" t="n">
        <v>0</v>
      </c>
    </row>
    <row r="6" customFormat="false" ht="15" hidden="false" customHeight="false" outlineLevel="0" collapsed="false">
      <c r="B6" s="1" t="s">
        <v>31</v>
      </c>
      <c r="C6" s="6" t="n">
        <v>0</v>
      </c>
    </row>
    <row r="7" customFormat="false" ht="15" hidden="false" customHeight="false" outlineLevel="0" collapsed="false">
      <c r="B7" s="1" t="s">
        <v>32</v>
      </c>
      <c r="C7" s="8" t="n">
        <f aca="false">C4+C5+C6</f>
        <v>0</v>
      </c>
    </row>
    <row r="9" customFormat="false" ht="15" hidden="false" customHeight="false" outlineLevel="0" collapsed="false">
      <c r="B9" s="1" t="s">
        <v>33</v>
      </c>
      <c r="C9" s="6" t="n">
        <v>0</v>
      </c>
    </row>
    <row r="10" customFormat="false" ht="15" hidden="false" customHeight="false" outlineLevel="0" collapsed="false">
      <c r="B10" s="1" t="s">
        <v>34</v>
      </c>
      <c r="C10" s="6" t="n">
        <v>0</v>
      </c>
    </row>
    <row r="11" customFormat="false" ht="15" hidden="false" customHeight="false" outlineLevel="0" collapsed="false">
      <c r="B11" s="1" t="s">
        <v>35</v>
      </c>
      <c r="C11" s="8" t="n">
        <f aca="false">C7+C9+C10</f>
        <v>0</v>
      </c>
      <c r="D11" s="12" t="s">
        <v>36</v>
      </c>
    </row>
    <row r="13" customFormat="false" ht="15" hidden="false" customHeight="false" outlineLevel="0" collapsed="false">
      <c r="B13" s="1" t="s">
        <v>37</v>
      </c>
      <c r="C13" s="13" t="n">
        <v>1</v>
      </c>
    </row>
    <row r="14" customFormat="false" ht="15" hidden="false" customHeight="false" outlineLevel="0" collapsed="false">
      <c r="B14" s="1" t="s">
        <v>38</v>
      </c>
      <c r="C14" s="14" t="n">
        <f aca="false">IFERROR(C7/C13,"-")</f>
        <v>0</v>
      </c>
    </row>
    <row r="15" customFormat="false" ht="15" hidden="false" customHeight="false" outlineLevel="0" collapsed="false">
      <c r="B15" s="1" t="s">
        <v>39</v>
      </c>
      <c r="C15" s="14" t="n">
        <f aca="false">IFERROR(C11/C13,"-")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8" min="3" style="1" width="12"/>
  </cols>
  <sheetData>
    <row r="2" customFormat="false" ht="19.7" hidden="false" customHeight="false" outlineLevel="0" collapsed="false">
      <c r="B2" s="2" t="s">
        <v>40</v>
      </c>
    </row>
    <row r="4" customFormat="false" ht="15" hidden="false" customHeight="false" outlineLevel="0" collapsed="false">
      <c r="B4" s="15" t="s">
        <v>41</v>
      </c>
    </row>
    <row r="5" customFormat="false" ht="15" hidden="false" customHeight="false" outlineLevel="0" collapsed="false">
      <c r="B5" s="1" t="s">
        <v>42</v>
      </c>
      <c r="C5" s="10" t="n">
        <v>0.02</v>
      </c>
    </row>
    <row r="6" customFormat="false" ht="15" hidden="false" customHeight="false" outlineLevel="0" collapsed="false">
      <c r="B6" s="1" t="s">
        <v>43</v>
      </c>
      <c r="C6" s="10" t="n">
        <v>0.065</v>
      </c>
    </row>
    <row r="7" customFormat="false" ht="15" hidden="false" customHeight="false" outlineLevel="0" collapsed="false">
      <c r="B7" s="1" t="s">
        <v>44</v>
      </c>
      <c r="C7" s="16" t="n">
        <v>0.02</v>
      </c>
    </row>
    <row r="8" customFormat="false" ht="15" hidden="false" customHeight="false" outlineLevel="0" collapsed="false">
      <c r="B8" s="1" t="s">
        <v>45</v>
      </c>
      <c r="C8" s="9" t="n">
        <f aca="false">IFERROR(ABS('Property Pro Forma'!C13),"-")</f>
        <v>0</v>
      </c>
    </row>
    <row r="9" customFormat="false" ht="15" hidden="false" customHeight="false" outlineLevel="0" collapsed="false">
      <c r="B9" s="1" t="s">
        <v>46</v>
      </c>
      <c r="C9" s="9" t="n">
        <f aca="false">IFERROR('Cap Rate &amp; Valuation'!C8-'Cap Rate &amp; Valuation'!C10,"-")</f>
        <v>0</v>
      </c>
    </row>
    <row r="12" customFormat="false" ht="15" hidden="false" customHeight="false" outlineLevel="0" collapsed="false">
      <c r="C12" s="17" t="s">
        <v>47</v>
      </c>
      <c r="D12" s="17" t="s">
        <v>48</v>
      </c>
      <c r="E12" s="17" t="s">
        <v>49</v>
      </c>
      <c r="F12" s="17" t="s">
        <v>50</v>
      </c>
      <c r="G12" s="17" t="s">
        <v>51</v>
      </c>
    </row>
    <row r="13" customFormat="false" ht="15" hidden="false" customHeight="false" outlineLevel="0" collapsed="false">
      <c r="B13" s="1" t="s">
        <v>52</v>
      </c>
      <c r="C13" s="9" t="n">
        <f aca="false">'Property Pro Forma'!C11</f>
        <v>0</v>
      </c>
      <c r="D13" s="18" t="n">
        <f aca="false">C13*(1+$C$5)</f>
        <v>0</v>
      </c>
      <c r="E13" s="18" t="n">
        <f aca="false">D13*(1+$C$5)</f>
        <v>0</v>
      </c>
      <c r="F13" s="18" t="n">
        <f aca="false">E13*(1+$C$5)</f>
        <v>0</v>
      </c>
      <c r="G13" s="18" t="n">
        <f aca="false">F13*(1+$C$5)</f>
        <v>0</v>
      </c>
    </row>
    <row r="14" customFormat="false" ht="15" hidden="false" customHeight="false" outlineLevel="0" collapsed="false">
      <c r="B14" s="1" t="s">
        <v>53</v>
      </c>
      <c r="C14" s="18" t="n">
        <f aca="false">$C$8</f>
        <v>0</v>
      </c>
      <c r="D14" s="18" t="n">
        <f aca="false">$C$8</f>
        <v>0</v>
      </c>
      <c r="E14" s="18" t="n">
        <f aca="false">$C$8</f>
        <v>0</v>
      </c>
      <c r="F14" s="18" t="n">
        <f aca="false">$C$8</f>
        <v>0</v>
      </c>
      <c r="G14" s="18" t="n">
        <f aca="false">$C$8</f>
        <v>0</v>
      </c>
    </row>
    <row r="15" customFormat="false" ht="15" hidden="false" customHeight="false" outlineLevel="0" collapsed="false">
      <c r="B15" s="1" t="s">
        <v>54</v>
      </c>
      <c r="C15" s="18" t="n">
        <f aca="false">C13-C14</f>
        <v>0</v>
      </c>
      <c r="D15" s="18" t="n">
        <f aca="false">D13-D14</f>
        <v>0</v>
      </c>
      <c r="E15" s="18" t="n">
        <f aca="false">E13-E14</f>
        <v>0</v>
      </c>
      <c r="F15" s="18" t="n">
        <f aca="false">F13-F14</f>
        <v>0</v>
      </c>
      <c r="G15" s="18" t="n">
        <f aca="false">G13-G14</f>
        <v>0</v>
      </c>
    </row>
    <row r="16" customFormat="false" ht="15" hidden="false" customHeight="false" outlineLevel="0" collapsed="false">
      <c r="B16" s="1" t="s">
        <v>55</v>
      </c>
      <c r="C16" s="19" t="str">
        <f aca="false">IFERROR(C13/C14,"-")</f>
        <v>-</v>
      </c>
      <c r="D16" s="19" t="str">
        <f aca="false">IFERROR(D13/D14,"-")</f>
        <v>-</v>
      </c>
      <c r="E16" s="19" t="str">
        <f aca="false">IFERROR(E13/E14,"-")</f>
        <v>-</v>
      </c>
      <c r="F16" s="19" t="str">
        <f aca="false">IFERROR(F13/F14,"-")</f>
        <v>-</v>
      </c>
      <c r="G16" s="19" t="str">
        <f aca="false">IFERROR(G13/G14,"-")</f>
        <v>-</v>
      </c>
    </row>
    <row r="18" customFormat="false" ht="15" hidden="false" customHeight="false" outlineLevel="0" collapsed="false">
      <c r="B18" s="15" t="s">
        <v>56</v>
      </c>
    </row>
    <row r="19" customFormat="false" ht="15" hidden="false" customHeight="false" outlineLevel="0" collapsed="false">
      <c r="B19" s="1" t="s">
        <v>57</v>
      </c>
      <c r="C19" s="18" t="n">
        <f aca="false">G13*(1+$C$5)</f>
        <v>0</v>
      </c>
    </row>
    <row r="20" customFormat="false" ht="15" hidden="false" customHeight="false" outlineLevel="0" collapsed="false">
      <c r="B20" s="1" t="s">
        <v>58</v>
      </c>
      <c r="C20" s="18" t="n">
        <f aca="false">IFERROR(C19/C6,"-")</f>
        <v>0</v>
      </c>
    </row>
    <row r="21" customFormat="false" ht="15" hidden="false" customHeight="false" outlineLevel="0" collapsed="false">
      <c r="B21" s="1" t="s">
        <v>59</v>
      </c>
      <c r="C21" s="18" t="n">
        <f aca="false">-C20*C7</f>
        <v>-0</v>
      </c>
    </row>
    <row r="22" customFormat="false" ht="15" hidden="false" customHeight="false" outlineLevel="0" collapsed="false">
      <c r="B22" s="1" t="s">
        <v>60</v>
      </c>
      <c r="C22" s="9" t="n">
        <f aca="false">-'Cap Rate &amp; Valuation'!C10</f>
        <v>-0</v>
      </c>
    </row>
    <row r="23" customFormat="false" ht="15" hidden="false" customHeight="false" outlineLevel="0" collapsed="false">
      <c r="B23" s="1" t="s">
        <v>61</v>
      </c>
      <c r="C23" s="8" t="n">
        <f aca="false">C20+C21+C22</f>
        <v>0</v>
      </c>
    </row>
    <row r="25" customFormat="false" ht="15" hidden="false" customHeight="false" outlineLevel="0" collapsed="false">
      <c r="B25" s="15"/>
      <c r="C25" s="17" t="s">
        <v>62</v>
      </c>
      <c r="D25" s="17" t="s">
        <v>47</v>
      </c>
      <c r="E25" s="17" t="s">
        <v>48</v>
      </c>
      <c r="F25" s="17" t="s">
        <v>49</v>
      </c>
      <c r="G25" s="17" t="s">
        <v>50</v>
      </c>
      <c r="H25" s="17" t="s">
        <v>51</v>
      </c>
    </row>
    <row r="26" customFormat="false" ht="15" hidden="false" customHeight="false" outlineLevel="0" collapsed="false">
      <c r="B26" s="1" t="s">
        <v>63</v>
      </c>
      <c r="C26" s="18" t="n">
        <f aca="false">-C9</f>
        <v>-0</v>
      </c>
      <c r="D26" s="18" t="n">
        <f aca="false">C15</f>
        <v>0</v>
      </c>
      <c r="E26" s="18" t="n">
        <f aca="false">D15</f>
        <v>0</v>
      </c>
      <c r="F26" s="18" t="n">
        <f aca="false">E15</f>
        <v>0</v>
      </c>
      <c r="G26" s="18" t="n">
        <f aca="false">F15</f>
        <v>0</v>
      </c>
      <c r="H26" s="18" t="n">
        <f aca="false">G15+C23</f>
        <v>0</v>
      </c>
    </row>
    <row r="27" customFormat="false" ht="15" hidden="false" customHeight="false" outlineLevel="0" collapsed="false">
      <c r="B27" s="1" t="s">
        <v>64</v>
      </c>
      <c r="C27" s="20" t="str">
        <f aca="false">IFERROR(IRR(C26:H26),"-")</f>
        <v>-</v>
      </c>
    </row>
    <row r="28" customFormat="false" ht="15" hidden="false" customHeight="false" outlineLevel="0" collapsed="false">
      <c r="B28" s="1" t="s">
        <v>65</v>
      </c>
      <c r="C28" s="21" t="str">
        <f aca="false">IFERROR(SUM(D26:H26)/C9,"-")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66</v>
      </c>
    </row>
    <row r="4" customFormat="false" ht="15" hidden="false" customHeight="false" outlineLevel="0" collapsed="false">
      <c r="B4" s="17" t="s">
        <v>67</v>
      </c>
      <c r="C4" s="17" t="s">
        <v>68</v>
      </c>
      <c r="D4" s="17" t="s">
        <v>69</v>
      </c>
      <c r="E4" s="17" t="s">
        <v>70</v>
      </c>
      <c r="F4" s="17" t="s">
        <v>71</v>
      </c>
    </row>
    <row r="5" customFormat="false" ht="15" hidden="false" customHeight="false" outlineLevel="0" collapsed="false">
      <c r="B5" s="22"/>
      <c r="C5" s="22"/>
      <c r="D5" s="22"/>
      <c r="E5" s="22"/>
      <c r="F5" s="22"/>
    </row>
    <row r="6" customFormat="false" ht="15" hidden="false" customHeight="false" outlineLevel="0" collapsed="false">
      <c r="B6" s="22"/>
      <c r="C6" s="22"/>
      <c r="D6" s="22"/>
      <c r="E6" s="22"/>
      <c r="F6" s="22"/>
    </row>
    <row r="7" customFormat="false" ht="15" hidden="false" customHeight="false" outlineLevel="0" collapsed="false">
      <c r="B7" s="22"/>
      <c r="C7" s="22"/>
      <c r="D7" s="22"/>
      <c r="E7" s="22"/>
      <c r="F7" s="22"/>
    </row>
    <row r="8" customFormat="false" ht="15" hidden="false" customHeight="false" outlineLevel="0" collapsed="false">
      <c r="B8" s="22"/>
      <c r="C8" s="22"/>
      <c r="D8" s="22"/>
      <c r="E8" s="22"/>
      <c r="F8" s="22"/>
    </row>
    <row r="9" customFormat="false" ht="15" hidden="false" customHeight="false" outlineLevel="0" collapsed="false">
      <c r="B9" s="22"/>
      <c r="C9" s="22"/>
      <c r="D9" s="22"/>
      <c r="E9" s="22"/>
      <c r="F9" s="22"/>
    </row>
    <row r="10" customFormat="false" ht="15" hidden="false" customHeight="false" outlineLevel="0" collapsed="false">
      <c r="B10" s="22"/>
      <c r="C10" s="22"/>
      <c r="D10" s="22"/>
      <c r="E10" s="22"/>
      <c r="F10" s="22"/>
    </row>
    <row r="11" customFormat="false" ht="15" hidden="false" customHeight="false" outlineLevel="0" collapsed="false">
      <c r="B11" s="22"/>
      <c r="C11" s="22"/>
      <c r="D11" s="22"/>
      <c r="E11" s="22"/>
      <c r="F11" s="22"/>
    </row>
    <row r="12" customFormat="false" ht="15" hidden="false" customHeight="false" outlineLevel="0" collapsed="false">
      <c r="B12" s="22"/>
      <c r="C12" s="22"/>
      <c r="D12" s="22"/>
      <c r="E12" s="22"/>
      <c r="F12" s="22"/>
    </row>
    <row r="13" customFormat="false" ht="15" hidden="false" customHeight="false" outlineLevel="0" collapsed="false">
      <c r="B13" s="22"/>
      <c r="C13" s="22"/>
      <c r="D13" s="22"/>
      <c r="E13" s="22"/>
      <c r="F13" s="22"/>
    </row>
    <row r="14" customFormat="false" ht="15" hidden="false" customHeight="false" outlineLevel="0" collapsed="false">
      <c r="B14" s="22"/>
      <c r="C14" s="22"/>
      <c r="D14" s="22"/>
      <c r="E14" s="22"/>
      <c r="F14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2026-08-03T22:55:38Z</dcterms:created>
  <dc:creator>openpyxl</dc:creator>
  <dc:description/>
  <dc:language>en-US</dc:language>
  <cp:lastModifiedBy/>
  <dcterms:modified xsi:type="dcterms:W3CDTF">2026-08-03T22:55:38Z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