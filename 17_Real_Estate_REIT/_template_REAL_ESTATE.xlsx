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Property Pro Forma" sheetId="2" state="visible" r:id="rId4"/>
    <sheet name="Cap Rate &amp; Valuation" sheetId="3" state="visible" r:id="rId5"/>
    <sheet name="REIT FFO-AFFO" sheetId="4" state="visible" r:id="rId6"/>
    <sheet name="5-Year Hold &amp; IRR" sheetId="5" state="visible" r:id="rId7"/>
    <sheet name="LP-GP Promote" sheetId="6" state="visible" r:id="rId8"/>
    <sheet name="Sources" sheetId="7" state="visible" r:id="rId9"/>
    <sheet name="Checks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<sst xmlns="http://schemas.openxmlformats.org/spreadsheetml/2006/main" count="137" uniqueCount="130">
  <si>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</si>
  <si>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</si>
  <si>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</si>
  <si>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</si>
  <si>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</si>
  <si>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</si>
  <si>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</si>
  <si>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</si>
  <si>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</si>
  <si>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Property Pro Forma (annual, $)</t>
  </si>
  <si>
    <t xml:space="preserve">Gross potential rent</t>
  </si>
  <si>
    <t xml:space="preserve">- 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</si>
  <si>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</si>
  <si>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</si>
  <si>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</si>
  <si>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- Operating expenses (taxes, insurance, mgmt, R&amp;M)</t>
  </si>
  <si>
    <t xml:space="preserve">Net Operating Income (NOI)</t>
  </si>
  <si>
    <t xml:space="preserve">- Capex reserve</t>
  </si>
  <si>
    <t xml:space="preserve">- Debt service (P&amp;I)</t>
  </si>
  <si>
    <t xml:space="preserve">Cash flow before tax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</si>
  <si>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</si>
  <si>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</si>
  <si>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</si>
  <si>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</si>
  <si>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</si>
  <si>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</si>
  <si>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</si>
  <si>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</si>
  <si>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REIT FFO / AFFO</t>
  </si>
  <si>
    <t xml:space="preserve">Net income (GAAP)</t>
  </si>
  <si>
    <t xml:space="preserve">+ Real estate depreciation &amp; amortization</t>
  </si>
  <si>
    <t xml:space="preserve">- Gains on property sales</t>
  </si>
  <si>
    <t xml:space="preserve">FFO (Funds From Operations)</t>
  </si>
  <si>
    <t xml:space="preserve">- Recurring capex / leasing costs</t>
  </si>
  <si>
    <t xml:space="preserve">- Straight-line rent adjustment</t>
  </si>
  <si>
    <t xml:space="preserve">AFFO (Adjusted FFO)</t>
  </si>
  <si>
    <t xml:space="preserve">AFFO is the better proxy for sustainable dividend-paying capacity</t>
  </si>
  <si>
    <t xml:space="preserve">Shares/units outstanding</t>
  </si>
  <si>
    <t xml:space="preserve">FFO / share</t>
  </si>
  <si>
    <t xml:space="preserve">AFFO / share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</si>
  <si>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</si>
  <si>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</si>
  <si>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</si>
  <si>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</si>
  <si>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</si>
  <si>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</si>
  <si>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</si>
  <si>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</si>
  <si>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</si>
  <si>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</si>
  <si>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</si>
  <si>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</si>
  <si>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NOI</t>
  </si>
  <si>
    <t xml:space="preserve">Debt service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</si>
  <si>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</si>
  <si>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</si>
  <si>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</si>
  <si>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</si>
  <si>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</si>
  <si>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</si>
  <si>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</si>
  <si>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</si>
  <si>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</si>
  <si>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</si>
  <si>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Levered IRR</t>
  </si>
  <si>
    <t xml:space="preserve">Equity multiple (MOIC)</t>
  </si>
  <si>
    <t xml:space="preserve">LP/GP Promote Waterfall (Sponsor Co-Invest)</t>
  </si>
  <si>
    <t xml:space="preserve">The dominant real-estate syndication structure: sponsor (GP) co-invests alongside LPs, both get capital back plus a compounded preferred return pro-rata to their ownership, then the SPONSOR earns a promote (disproportionate share) on profit above the preferred -- straight pref-then-split, no catch-up tranche, which is genuinely how many real estate deals (as opposed to PE/VC funds) are actually structured.</t>
  </si>
  <si>
    <t xml:space="preserve">Inputs</t>
  </si>
  <si>
    <t xml:space="preserve">LP equity share (%)</t>
  </si>
  <si>
    <t xml:space="preserve">GP (sponsor) equity share (%)</t>
  </si>
  <si>
    <t xml:space="preserve">Preferred return (annual, compounded over the hold)</t>
  </si>
  <si>
    <t xml:space="preserve">Hold period (years, for pref compounding)</t>
  </si>
  <si>
    <t xml:space="preserve">GP promote (% of profit above preferred)</t>
  </si>
  <si>
    <t xml:space="preserve">From the 5-Year Hold</t>
  </si>
  <si>
    <t xml:space="preserve">Total equity invested</t>
  </si>
  <si>
    <t xml:space="preserve">Total equity distributions (Yr1-Yr5 CF + exit proceeds)</t>
  </si>
  <si>
    <t xml:space="preserve">Waterfall</t>
  </si>
  <si>
    <t xml:space="preserve">1. Return of capital</t>
  </si>
  <si>
    <t xml:space="preserve">2. Preferred return target (compounded on total capital)</t>
  </si>
  <si>
    <t xml:space="preserve">2. Preferred return paid</t>
  </si>
  <si>
    <t xml:space="preserve">3. Residual profit (above return of capital + preferred)</t>
  </si>
  <si>
    <t xml:space="preserve">   GP promote share of residual</t>
  </si>
  <si>
    <t xml:space="preserve">   LP share of residual</t>
  </si>
  <si>
    <t xml:space="preserve">Distribution Summary</t>
  </si>
  <si>
    <t xml:space="preserve">LP total distribution (ROC + pref + residual, pro-rata)</t>
  </si>
  <si>
    <t xml:space="preserve">GP total distribution (ROC + pref, pro-rata, + promote)</t>
  </si>
  <si>
    <t xml:space="preserve">LP equity multiple</t>
  </si>
  <si>
    <t xml:space="preserve">GP equity multiple (co-invest + promote)</t>
  </si>
  <si>
    <t xml:space="preserve">GP multiple should exceed LP's -- that's the promote actually doing its job</t>
  </si>
  <si>
    <t xml:space="preserve">GP effective promote take (% of total profit)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</si>
  <si>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</si>
  <si>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</si>
  <si>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</si>
  <si>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</si>
  <si>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</si>
  <si>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</si>
  <si>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LP/GP promote waterfall: ROC -&gt; pref (pro-rata) -&gt; promote split, no catch-up</t>
  </si>
  <si>
    <t xml:space="preserve">Standard real-estate syndication structure (distinct from PE/VC fund carry, which typically includes a GP catch-up tranche)</t>
  </si>
  <si>
    <t xml:space="preserve">Standard practice</t>
  </si>
  <si>
    <t xml:space="preserve">Simpler than a catch-up structure -- some real estate sponsors do negotiate a catch-up; this models the more common no-catch-up version</t>
  </si>
  <si>
    <t xml:space="preserve">Compounded preferred return, capital x ((1+pref)^hold - 1)</t>
  </si>
  <si>
    <t xml:space="preserve">Standard IRR-hurdle preferred-return compounding convention</t>
  </si>
  <si>
    <t xml:space="preserve">Compounds annually over the FULL hold period as a single lump sum, not on a cash-flow-weighted (true XIRR) basis -- an approximation for a single-distribution-event deal</t>
  </si>
  <si>
    <t xml:space="preserve">Cap rate valuation (NOI / cap rate)</t>
  </si>
  <si>
    <t xml:space="preserve">Standard income-approach real estate valuation</t>
  </si>
  <si>
    <t xml:space="preserve">A single point-estimate cap rate -- real appraisals typically triangulate against comps and replacement cost too</t>
  </si>
  <si>
    <t xml:space="preserve">FFO/AFFO</t>
  </si>
  <si>
    <t xml:space="preserve">NAREIT standard REIT reporting definitions</t>
  </si>
  <si>
    <t xml:space="preserve">Industry standard (NAREIT)</t>
  </si>
  <si>
    <t xml:space="preserve">AFFO in particular has no single universally standardized definition across REITs -- this is one common formulation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</si>
  <si>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</si>
  <si>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</si>
  <si>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</si>
  <si>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</si>
  <si>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</si>
  <si>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Waterfall conserves: LP + GP distribution = total distributions</t>
  </si>
  <si>
    <t xml:space="preserve">0 (exact) -- every dollar distributed lands with either the LP or the GP</t>
  </si>
  <si>
    <t xml:space="preserve">GP equity multiple exceeds LP's when there's a promote to earn (profitable deal)</t>
  </si>
  <si>
    <t xml:space="preserve">TRUE -- the promote's whole purpose is GP outperformance when the deal profits</t>
  </si>
  <si>
    <t xml:space="preserve">FFO = AFFO before any recurring-capex/straight-line adjustments (both zero)</t>
  </si>
  <si>
    <t xml:space="preserve">TRUE</t>
  </si>
  <si>
    <t xml:space="preserve">Exit equity proceeds feed the levered-IRR terminal cash flow exactly</t>
  </si>
  <si>
    <t xml:space="preserve">0 (exact)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</si>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</sst>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\x"/>
    <numFmt numFmtId="170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4"/>
  </cols>
  <sheetData>
    <row r="2" customFormat="false" ht="19.7" hidden="false" customHeight="false" outlineLevel="0" collapsed="false">
      <c r="B2" s="2" t="s">
        <v>9</v>
      </c>
    </row>
    <row r="5" customFormat="false" ht="15" hidden="false" customHeight="false" outlineLevel="0" collapsed="false">
      <c r="B5" s="5" t="s">
        <v>10</v>
      </c>
      <c r="C5" s="6" t="n">
        <v>0</v>
      </c>
    </row>
    <row r="6" customFormat="false" ht="15" hidden="false" customHeight="false" outlineLevel="0" collapsed="false">
      <c r="B6" s="5" t="s">
        <v>11</v>
      </c>
      <c r="C6" s="6" t="n">
        <v>0</v>
      </c>
    </row>
    <row r="7" customFormat="false" ht="15" hidden="false" customHeight="false" outlineLevel="0" collapsed="false">
      <c r="B7" s="5" t="s">
        <v>12</v>
      </c>
      <c r="C7" s="7" t="n">
        <f aca="false">C5+C6</f>
        <v>0</v>
      </c>
    </row>
    <row r="8" customFormat="false" ht="15" hidden="false" customHeight="false" outlineLevel="0" collapsed="false">
      <c r="B8" s="5" t="s">
        <v>13</v>
      </c>
      <c r="C8" s="6" t="n">
        <v>0</v>
      </c>
    </row>
    <row r="9" customFormat="false" ht="15" hidden="false" customHeight="false" outlineLevel="0" collapsed="false">
      <c r="B9" s="3" t="s">
        <v>14</v>
      </c>
      <c r="C9" s="8" t="n">
        <f aca="false">C7+C8</f>
        <v>0</v>
      </c>
    </row>
    <row r="10" customFormat="false" ht="15" hidden="false" customHeight="false" outlineLevel="0" collapsed="false">
      <c r="B10" s="5" t="s">
        <v>15</v>
      </c>
      <c r="C10" s="6" t="n">
        <v>0</v>
      </c>
    </row>
    <row r="11" customFormat="false" ht="15" hidden="false" customHeight="false" outlineLevel="0" collapsed="false">
      <c r="B11" s="3" t="s">
        <v>16</v>
      </c>
      <c r="C11" s="8" t="n">
        <f aca="false">C9+C10</f>
        <v>0</v>
      </c>
    </row>
    <row r="12" customFormat="false" ht="15" hidden="false" customHeight="false" outlineLevel="0" collapsed="false">
      <c r="B12" s="5" t="s">
        <v>17</v>
      </c>
      <c r="C12" s="6" t="n">
        <v>0</v>
      </c>
    </row>
    <row r="13" customFormat="false" ht="15" hidden="false" customHeight="false" outlineLevel="0" collapsed="false">
      <c r="B13" s="5" t="s">
        <v>18</v>
      </c>
      <c r="C13" s="6" t="n">
        <v>0</v>
      </c>
    </row>
    <row r="14" customFormat="false" ht="15" hidden="false" customHeight="false" outlineLevel="0" collapsed="false">
      <c r="B14" s="3" t="s">
        <v>19</v>
      </c>
      <c r="C14" s="8" t="n">
        <f aca="false">C11+C12+C13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20</v>
      </c>
    </row>
    <row r="4" customFormat="false" ht="15" hidden="false" customHeight="false" outlineLevel="0" collapsed="false">
      <c r="B4" s="1" t="s">
        <v>21</v>
      </c>
      <c r="C4" s="9" t="n">
        <f aca="false">'Property Pro Forma'!C11</f>
        <v>0</v>
      </c>
    </row>
    <row r="5" customFormat="false" ht="15" hidden="false" customHeight="false" outlineLevel="0" collapsed="false">
      <c r="B5" s="1" t="s">
        <v>22</v>
      </c>
      <c r="C5" s="10" t="n">
        <v>0.06</v>
      </c>
    </row>
    <row r="6" customFormat="false" ht="15" hidden="false" customHeight="false" outlineLevel="0" collapsed="false">
      <c r="B6" s="1" t="s">
        <v>23</v>
      </c>
      <c r="C6" s="8" t="n">
        <f aca="false">IFERROR(C4/C5,"-")</f>
        <v>0</v>
      </c>
    </row>
    <row r="8" customFormat="false" ht="15" hidden="false" customHeight="false" outlineLevel="0" collapsed="false">
      <c r="B8" s="1" t="s">
        <v>24</v>
      </c>
      <c r="C8" s="6" t="n">
        <v>0</v>
      </c>
    </row>
    <row r="9" customFormat="false" ht="15" hidden="false" customHeight="false" outlineLevel="0" collapsed="false">
      <c r="B9" s="1" t="s">
        <v>25</v>
      </c>
      <c r="C9" s="11" t="str">
        <f aca="false">IFERROR(C4/C8,"-")</f>
        <v>-</v>
      </c>
    </row>
    <row r="10" customFormat="false" ht="15" hidden="false" customHeight="false" outlineLevel="0" collapsed="false">
      <c r="B10" s="1" t="s">
        <v>26</v>
      </c>
      <c r="C10" s="6" t="n">
        <v>0</v>
      </c>
    </row>
    <row r="11" customFormat="false" ht="15" hidden="false" customHeight="false" outlineLevel="0" collapsed="false">
      <c r="B11" s="1" t="s">
        <v>27</v>
      </c>
      <c r="C11" s="11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28</v>
      </c>
    </row>
    <row r="4" customFormat="false" ht="15" hidden="false" customHeight="false" outlineLevel="0" collapsed="false">
      <c r="B4" s="1" t="s">
        <v>29</v>
      </c>
      <c r="C4" s="6" t="n">
        <v>0</v>
      </c>
    </row>
    <row r="5" customFormat="false" ht="15" hidden="false" customHeight="false" outlineLevel="0" collapsed="false">
      <c r="B5" s="1" t="s">
        <v>30</v>
      </c>
      <c r="C5" s="6" t="n">
        <v>0</v>
      </c>
    </row>
    <row r="6" customFormat="false" ht="15" hidden="false" customHeight="false" outlineLevel="0" collapsed="false">
      <c r="B6" s="1" t="s">
        <v>31</v>
      </c>
      <c r="C6" s="6" t="n">
        <v>0</v>
      </c>
    </row>
    <row r="7" customFormat="false" ht="15" hidden="false" customHeight="false" outlineLevel="0" collapsed="false">
      <c r="B7" s="1" t="s">
        <v>32</v>
      </c>
      <c r="C7" s="8" t="n">
        <f aca="false">C4+C5+C6</f>
        <v>0</v>
      </c>
    </row>
    <row r="9" customFormat="false" ht="15" hidden="false" customHeight="false" outlineLevel="0" collapsed="false">
      <c r="B9" s="1" t="s">
        <v>33</v>
      </c>
      <c r="C9" s="6" t="n">
        <v>0</v>
      </c>
    </row>
    <row r="10" customFormat="false" ht="15" hidden="false" customHeight="false" outlineLevel="0" collapsed="false">
      <c r="B10" s="1" t="s">
        <v>34</v>
      </c>
      <c r="C10" s="6" t="n">
        <v>0</v>
      </c>
    </row>
    <row r="11" customFormat="false" ht="15" hidden="false" customHeight="false" outlineLevel="0" collapsed="false">
      <c r="B11" s="1" t="s">
        <v>35</v>
      </c>
      <c r="C11" s="8" t="n">
        <f aca="false">C7+C9+C10</f>
        <v>0</v>
      </c>
      <c r="D11" s="12" t="s">
        <v>36</v>
      </c>
    </row>
    <row r="13" customFormat="false" ht="15" hidden="false" customHeight="false" outlineLevel="0" collapsed="false">
      <c r="B13" s="1" t="s">
        <v>37</v>
      </c>
      <c r="C13" s="13" t="n">
        <v>1</v>
      </c>
    </row>
    <row r="14" customFormat="false" ht="15" hidden="false" customHeight="false" outlineLevel="0" collapsed="false">
      <c r="B14" s="1" t="s">
        <v>38</v>
      </c>
      <c r="C14" s="14" t="n">
        <f aca="false">IFERROR(C7/C13,"-")</f>
        <v>0</v>
      </c>
    </row>
    <row r="15" customFormat="false" ht="15" hidden="false" customHeight="false" outlineLevel="0" collapsed="false">
      <c r="B15" s="1" t="s">
        <v>39</v>
      </c>
      <c r="C15" s="14" t="n">
        <f aca="false">IFERROR(C11/C13,"-")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40</v>
      </c>
    </row>
    <row r="4" customFormat="false" ht="15" hidden="false" customHeight="false" outlineLevel="0" collapsed="false">
      <c r="B4" s="15" t="s">
        <v>41</v>
      </c>
    </row>
    <row r="5" customFormat="false" ht="15" hidden="false" customHeight="false" outlineLevel="0" collapsed="false">
      <c r="B5" s="1" t="s">
        <v>42</v>
      </c>
      <c r="C5" s="10" t="n">
        <v>0.02</v>
      </c>
    </row>
    <row r="6" customFormat="false" ht="15" hidden="false" customHeight="false" outlineLevel="0" collapsed="false">
      <c r="B6" s="1" t="s">
        <v>43</v>
      </c>
      <c r="C6" s="10" t="n">
        <v>0.065</v>
      </c>
    </row>
    <row r="7" customFormat="false" ht="15" hidden="false" customHeight="false" outlineLevel="0" collapsed="false">
      <c r="B7" s="1" t="s">
        <v>44</v>
      </c>
      <c r="C7" s="16" t="n">
        <v>0.02</v>
      </c>
    </row>
    <row r="8" customFormat="false" ht="15" hidden="false" customHeight="false" outlineLevel="0" collapsed="false">
      <c r="B8" s="1" t="s">
        <v>45</v>
      </c>
      <c r="C8" s="9" t="n">
        <f aca="false">IFERROR(ABS('Property Pro Forma'!C13),"-")</f>
        <v>0</v>
      </c>
    </row>
    <row r="9" customFormat="false" ht="15" hidden="false" customHeight="false" outlineLevel="0" collapsed="false">
      <c r="B9" s="1" t="s">
        <v>46</v>
      </c>
      <c r="C9" s="9" t="n">
        <f aca="false">IFERROR('Cap Rate &amp; Valuation'!C8-'Cap Rate &amp; Valuation'!C10,"-")</f>
        <v>0</v>
      </c>
    </row>
    <row r="12" customFormat="false" ht="15" hidden="false" customHeight="false" outlineLevel="0" collapsed="false">
      <c r="C12" s="17" t="s">
        <v>47</v>
      </c>
      <c r="D12" s="17" t="s">
        <v>48</v>
      </c>
      <c r="E12" s="17" t="s">
        <v>49</v>
      </c>
      <c r="F12" s="17" t="s">
        <v>50</v>
      </c>
      <c r="G12" s="17" t="s">
        <v>51</v>
      </c>
    </row>
    <row r="13" customFormat="false" ht="15" hidden="false" customHeight="false" outlineLevel="0" collapsed="false">
      <c r="B13" s="1" t="s">
        <v>52</v>
      </c>
      <c r="C13" s="9" t="n">
        <f aca="false">'Property Pro Forma'!C11</f>
        <v>0</v>
      </c>
      <c r="D13" s="18" t="n">
        <f aca="false">C13*(1+$C$5)</f>
        <v>0</v>
      </c>
      <c r="E13" s="18" t="n">
        <f aca="false">D13*(1+$C$5)</f>
        <v>0</v>
      </c>
      <c r="F13" s="18" t="n">
        <f aca="false">E13*(1+$C$5)</f>
        <v>0</v>
      </c>
      <c r="G13" s="18" t="n">
        <f aca="false">F13*(1+$C$5)</f>
        <v>0</v>
      </c>
    </row>
    <row r="14" customFormat="false" ht="15" hidden="false" customHeight="false" outlineLevel="0" collapsed="false">
      <c r="B14" s="1" t="s">
        <v>53</v>
      </c>
      <c r="C14" s="18" t="n">
        <f aca="false">$C$8</f>
        <v>0</v>
      </c>
      <c r="D14" s="18" t="n">
        <f aca="false">$C$8</f>
        <v>0</v>
      </c>
      <c r="E14" s="18" t="n">
        <f aca="false">$C$8</f>
        <v>0</v>
      </c>
      <c r="F14" s="18" t="n">
        <f aca="false">$C$8</f>
        <v>0</v>
      </c>
      <c r="G14" s="18" t="n">
        <f aca="false">$C$8</f>
        <v>0</v>
      </c>
    </row>
    <row r="15" customFormat="false" ht="15" hidden="false" customHeight="false" outlineLevel="0" collapsed="false">
      <c r="B15" s="1" t="s">
        <v>54</v>
      </c>
      <c r="C15" s="18" t="n">
        <f aca="false">C13-C14</f>
        <v>0</v>
      </c>
      <c r="D15" s="18" t="n">
        <f aca="false">D13-D14</f>
        <v>0</v>
      </c>
      <c r="E15" s="18" t="n">
        <f aca="false">E13-E14</f>
        <v>0</v>
      </c>
      <c r="F15" s="18" t="n">
        <f aca="false">F13-F14</f>
        <v>0</v>
      </c>
      <c r="G15" s="18" t="n">
        <f aca="false">G13-G14</f>
        <v>0</v>
      </c>
    </row>
    <row r="16" customFormat="false" ht="15" hidden="false" customHeight="false" outlineLevel="0" collapsed="false">
      <c r="B16" s="1" t="s">
        <v>55</v>
      </c>
      <c r="C16" s="19" t="str">
        <f aca="false">IFERROR(C13/C14,"-")</f>
        <v>-</v>
      </c>
      <c r="D16" s="19" t="str">
        <f aca="false">IFERROR(D13/D14,"-")</f>
        <v>-</v>
      </c>
      <c r="E16" s="19" t="str">
        <f aca="false">IFERROR(E13/E14,"-")</f>
        <v>-</v>
      </c>
      <c r="F16" s="19" t="str">
        <f aca="false">IFERROR(F13/F14,"-")</f>
        <v>-</v>
      </c>
      <c r="G16" s="19" t="str">
        <f aca="false">IFERROR(G13/G14,"-")</f>
        <v>-</v>
      </c>
    </row>
    <row r="18" customFormat="false" ht="15" hidden="false" customHeight="false" outlineLevel="0" collapsed="false">
      <c r="B18" s="15" t="s">
        <v>56</v>
      </c>
    </row>
    <row r="19" customFormat="false" ht="15" hidden="false" customHeight="false" outlineLevel="0" collapsed="false">
      <c r="B19" s="1" t="s">
        <v>57</v>
      </c>
      <c r="C19" s="18" t="n">
        <f aca="false">G13*(1+$C$5)</f>
        <v>0</v>
      </c>
    </row>
    <row r="20" customFormat="false" ht="15" hidden="false" customHeight="false" outlineLevel="0" collapsed="false">
      <c r="B20" s="1" t="s">
        <v>58</v>
      </c>
      <c r="C20" s="18" t="n">
        <f aca="false">IFERROR(C19/C6,"-")</f>
        <v>0</v>
      </c>
    </row>
    <row r="21" customFormat="false" ht="15" hidden="false" customHeight="false" outlineLevel="0" collapsed="false">
      <c r="B21" s="1" t="s">
        <v>59</v>
      </c>
      <c r="C21" s="18" t="n">
        <f aca="false">-C20*C7</f>
        <v>-0</v>
      </c>
    </row>
    <row r="22" customFormat="false" ht="15" hidden="false" customHeight="false" outlineLevel="0" collapsed="false">
      <c r="B22" s="1" t="s">
        <v>60</v>
      </c>
      <c r="C22" s="9" t="n">
        <f aca="false">-'Cap Rate &amp; Valuation'!C10</f>
        <v>-0</v>
      </c>
    </row>
    <row r="23" customFormat="false" ht="15" hidden="false" customHeight="false" outlineLevel="0" collapsed="false">
      <c r="B23" s="1" t="s">
        <v>61</v>
      </c>
      <c r="C23" s="8" t="n">
        <f aca="false">C20+C21+C22</f>
        <v>0</v>
      </c>
    </row>
    <row r="25" customFormat="false" ht="15" hidden="false" customHeight="false" outlineLevel="0" collapsed="false">
      <c r="B25" s="15"/>
      <c r="C25" s="17" t="s">
        <v>62</v>
      </c>
      <c r="D25" s="17" t="s">
        <v>47</v>
      </c>
      <c r="E25" s="17" t="s">
        <v>48</v>
      </c>
      <c r="F25" s="17" t="s">
        <v>49</v>
      </c>
      <c r="G25" s="17" t="s">
        <v>50</v>
      </c>
      <c r="H25" s="17" t="s">
        <v>51</v>
      </c>
    </row>
    <row r="26" customFormat="false" ht="15" hidden="false" customHeight="false" outlineLevel="0" collapsed="false">
      <c r="B26" s="1" t="s">
        <v>63</v>
      </c>
      <c r="C26" s="18" t="n">
        <f aca="false">-C9</f>
        <v>-0</v>
      </c>
      <c r="D26" s="18" t="n">
        <f aca="false">C15</f>
        <v>0</v>
      </c>
      <c r="E26" s="18" t="n">
        <f aca="false">D15</f>
        <v>0</v>
      </c>
      <c r="F26" s="18" t="n">
        <f aca="false">E15</f>
        <v>0</v>
      </c>
      <c r="G26" s="18" t="n">
        <f aca="false">F15</f>
        <v>0</v>
      </c>
      <c r="H26" s="18" t="n">
        <f aca="false">G15+C23</f>
        <v>0</v>
      </c>
    </row>
    <row r="27" customFormat="false" ht="15" hidden="false" customHeight="false" outlineLevel="0" collapsed="false">
      <c r="B27" s="1" t="s">
        <v>64</v>
      </c>
      <c r="C27" s="20" t="str">
        <f aca="false">IFERROR(IRR(C26:H26),"-")</f>
        <v>-</v>
      </c>
    </row>
    <row r="28" customFormat="false" ht="15" hidden="false" customHeight="false" outlineLevel="0" collapsed="false">
      <c r="B28" s="1" t="s">
        <v>65</v>
      </c>
      <c r="C28" s="21" t="str">
        <f aca="false">IFERROR(SUM(D26:H26)/C9,"-")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66</v>
      </c>
    </row>
    <row r="3" customFormat="false" ht="15" hidden="false" customHeight="false" outlineLevel="0" collapsed="false">
      <c r="B3" s="12" t="s">
        <v>67</v>
      </c>
    </row>
    <row r="5" customFormat="false" ht="15" hidden="false" customHeight="false" outlineLevel="0" collapsed="false">
      <c r="B5" s="15" t="s">
        <v>68</v>
      </c>
    </row>
    <row r="6" customFormat="false" ht="15" hidden="false" customHeight="false" outlineLevel="0" collapsed="false">
      <c r="B6" s="1" t="s">
        <v>69</v>
      </c>
      <c r="C6" s="10" t="n">
        <v>0.9</v>
      </c>
    </row>
    <row r="7" customFormat="false" ht="15" hidden="false" customHeight="false" outlineLevel="0" collapsed="false">
      <c r="B7" s="1" t="s">
        <v>70</v>
      </c>
      <c r="C7" s="22" t="n">
        <f aca="false">1-C6</f>
        <v>0.1</v>
      </c>
    </row>
    <row r="8" customFormat="false" ht="15" hidden="false" customHeight="false" outlineLevel="0" collapsed="false">
      <c r="B8" s="1" t="s">
        <v>71</v>
      </c>
      <c r="C8" s="10" t="n">
        <v>0.08</v>
      </c>
    </row>
    <row r="9" customFormat="false" ht="15" hidden="false" customHeight="false" outlineLevel="0" collapsed="false">
      <c r="B9" s="1" t="s">
        <v>72</v>
      </c>
      <c r="C9" s="23" t="n">
        <v>5</v>
      </c>
    </row>
    <row r="10" customFormat="false" ht="15" hidden="false" customHeight="false" outlineLevel="0" collapsed="false">
      <c r="B10" s="1" t="s">
        <v>73</v>
      </c>
      <c r="C10" s="10" t="n">
        <v>0.2</v>
      </c>
    </row>
    <row r="12" customFormat="false" ht="15" hidden="false" customHeight="false" outlineLevel="0" collapsed="false">
      <c r="B12" s="15" t="s">
        <v>74</v>
      </c>
    </row>
    <row r="13" customFormat="false" ht="15" hidden="false" customHeight="false" outlineLevel="0" collapsed="false">
      <c r="B13" s="1" t="s">
        <v>75</v>
      </c>
      <c r="C13" s="9" t="n">
        <f aca="false">'5-Year Hold &amp; IRR'!C9</f>
        <v>0</v>
      </c>
    </row>
    <row r="14" customFormat="false" ht="15" hidden="false" customHeight="false" outlineLevel="0" collapsed="false">
      <c r="B14" s="1" t="s">
        <v>76</v>
      </c>
      <c r="C14" s="9" t="n">
        <f aca="false">SUM('5-Year Hold &amp; IRR'!D26:H26)</f>
        <v>0</v>
      </c>
    </row>
    <row r="16" customFormat="false" ht="15" hidden="false" customHeight="false" outlineLevel="0" collapsed="false">
      <c r="B16" s="15" t="s">
        <v>77</v>
      </c>
    </row>
    <row r="17" customFormat="false" ht="15" hidden="false" customHeight="false" outlineLevel="0" collapsed="false">
      <c r="B17" s="1" t="s">
        <v>78</v>
      </c>
      <c r="C17" s="18" t="n">
        <f aca="false">MIN(C14,C13)</f>
        <v>0</v>
      </c>
    </row>
    <row r="18" customFormat="false" ht="15" hidden="false" customHeight="false" outlineLevel="0" collapsed="false">
      <c r="B18" s="1" t="s">
        <v>79</v>
      </c>
      <c r="C18" s="18" t="n">
        <f aca="false">C13*((1+C8)^C9-1)</f>
        <v>0</v>
      </c>
    </row>
    <row r="19" customFormat="false" ht="15" hidden="false" customHeight="false" outlineLevel="0" collapsed="false">
      <c r="B19" s="1" t="s">
        <v>80</v>
      </c>
      <c r="C19" s="18" t="n">
        <f aca="false">MIN(MAX(C14-C17,0),C18)</f>
        <v>0</v>
      </c>
    </row>
    <row r="20" customFormat="false" ht="15" hidden="false" customHeight="false" outlineLevel="0" collapsed="false">
      <c r="B20" s="1" t="s">
        <v>81</v>
      </c>
      <c r="C20" s="18" t="n">
        <f aca="false">MAX(C14-C17-C19,0)</f>
        <v>0</v>
      </c>
    </row>
    <row r="21" customFormat="false" ht="15" hidden="false" customHeight="false" outlineLevel="0" collapsed="false">
      <c r="B21" s="1" t="s">
        <v>82</v>
      </c>
      <c r="C21" s="18" t="n">
        <f aca="false">C20*C10</f>
        <v>0</v>
      </c>
    </row>
    <row r="22" customFormat="false" ht="15" hidden="false" customHeight="false" outlineLevel="0" collapsed="false">
      <c r="B22" s="1" t="s">
        <v>83</v>
      </c>
      <c r="C22" s="18" t="n">
        <f aca="false">C20*(1-C10)</f>
        <v>0</v>
      </c>
    </row>
    <row r="24" customFormat="false" ht="15" hidden="false" customHeight="false" outlineLevel="0" collapsed="false">
      <c r="B24" s="15" t="s">
        <v>84</v>
      </c>
    </row>
    <row r="25" customFormat="false" ht="15" hidden="false" customHeight="false" outlineLevel="0" collapsed="false">
      <c r="B25" s="1" t="s">
        <v>85</v>
      </c>
      <c r="C25" s="8" t="n">
        <f aca="false">C17*C6+C19*C6+C22</f>
        <v>0</v>
      </c>
    </row>
    <row r="26" customFormat="false" ht="15" hidden="false" customHeight="false" outlineLevel="0" collapsed="false">
      <c r="B26" s="1" t="s">
        <v>86</v>
      </c>
      <c r="C26" s="8" t="n">
        <f aca="false">C17*C7+C19*C7+C21</f>
        <v>0</v>
      </c>
    </row>
    <row r="27" customFormat="false" ht="15" hidden="false" customHeight="false" outlineLevel="0" collapsed="false">
      <c r="B27" s="1" t="s">
        <v>87</v>
      </c>
      <c r="C27" s="24" t="str">
        <f aca="false">IFERROR(C25/(C13*C6),"-")</f>
        <v>-</v>
      </c>
    </row>
    <row r="28" customFormat="false" ht="15" hidden="false" customHeight="false" outlineLevel="0" collapsed="false">
      <c r="B28" s="1" t="s">
        <v>88</v>
      </c>
      <c r="C28" s="24" t="str">
        <f aca="false">IFERROR(C26/(C13*C7),"-")</f>
        <v>-</v>
      </c>
      <c r="D28" s="12" t="s">
        <v>89</v>
      </c>
    </row>
    <row r="29" customFormat="false" ht="15" hidden="false" customHeight="false" outlineLevel="0" collapsed="false">
      <c r="B29" s="1" t="s">
        <v>90</v>
      </c>
      <c r="C29" s="11" t="n">
        <f aca="false">IFERROR(C21/MAX(C14-C13,0.0000001),"-")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91</v>
      </c>
    </row>
    <row r="3" customFormat="false" ht="15" hidden="false" customHeight="false" outlineLevel="0" collapsed="false">
      <c r="B3" s="12" t="s">
        <v>92</v>
      </c>
    </row>
    <row r="5" customFormat="false" ht="15" hidden="false" customHeight="false" outlineLevel="0" collapsed="false">
      <c r="B5" s="17" t="s">
        <v>93</v>
      </c>
      <c r="C5" s="17" t="s">
        <v>94</v>
      </c>
      <c r="D5" s="17" t="s">
        <v>95</v>
      </c>
      <c r="E5" s="17" t="s">
        <v>96</v>
      </c>
    </row>
    <row r="6" customFormat="false" ht="15" hidden="false" customHeight="false" outlineLevel="0" collapsed="false">
      <c r="B6" s="25" t="s">
        <v>97</v>
      </c>
      <c r="C6" s="25" t="s">
        <v>98</v>
      </c>
      <c r="D6" s="25" t="s">
        <v>99</v>
      </c>
      <c r="E6" s="26" t="s">
        <v>100</v>
      </c>
    </row>
    <row r="7" customFormat="false" ht="15" hidden="false" customHeight="false" outlineLevel="0" collapsed="false">
      <c r="B7" s="25" t="s">
        <v>101</v>
      </c>
      <c r="C7" s="25" t="s">
        <v>102</v>
      </c>
      <c r="D7" s="25" t="s">
        <v>99</v>
      </c>
      <c r="E7" s="26" t="s">
        <v>103</v>
      </c>
    </row>
    <row r="8" customFormat="false" ht="15" hidden="false" customHeight="false" outlineLevel="0" collapsed="false">
      <c r="B8" s="25" t="s">
        <v>104</v>
      </c>
      <c r="C8" s="25" t="s">
        <v>105</v>
      </c>
      <c r="D8" s="25" t="s">
        <v>99</v>
      </c>
      <c r="E8" s="26" t="s">
        <v>106</v>
      </c>
    </row>
    <row r="9" customFormat="false" ht="15" hidden="false" customHeight="false" outlineLevel="0" collapsed="false">
      <c r="B9" s="25" t="s">
        <v>107</v>
      </c>
      <c r="C9" s="25" t="s">
        <v>108</v>
      </c>
      <c r="D9" s="25" t="s">
        <v>109</v>
      </c>
      <c r="E9" s="26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111</v>
      </c>
    </row>
    <row r="3" customFormat="false" ht="15" hidden="false" customHeight="false" outlineLevel="0" collapsed="false">
      <c r="B3" s="12" t="s">
        <v>112</v>
      </c>
    </row>
    <row r="5" customFormat="false" ht="15" hidden="false" customHeight="false" outlineLevel="0" collapsed="false">
      <c r="B5" s="17" t="s">
        <v>113</v>
      </c>
      <c r="C5" s="17" t="s">
        <v>114</v>
      </c>
      <c r="D5" s="17" t="s">
        <v>115</v>
      </c>
    </row>
    <row r="6" customFormat="false" ht="15" hidden="false" customHeight="false" outlineLevel="0" collapsed="false">
      <c r="B6" s="25" t="s">
        <v>116</v>
      </c>
      <c r="C6" s="27" t="n">
        <f aca="false">'LP-GP Promote'!C25+'LP-GP Promote'!C26-'LP-GP Promote'!C14</f>
        <v>0</v>
      </c>
      <c r="D6" s="26" t="s">
        <v>117</v>
      </c>
    </row>
    <row r="7" customFormat="false" ht="15" hidden="false" customHeight="false" outlineLevel="0" collapsed="false">
      <c r="B7" s="25" t="s">
        <v>118</v>
      </c>
      <c r="C7" s="27" t="b">
        <f aca="false">IF('LP-GP Promote'!C20&gt;0,'LP-GP Promote'!C28&gt;'LP-GP Promote'!C27,TRUE())</f>
        <v>1</v>
      </c>
      <c r="D7" s="26" t="s">
        <v>119</v>
      </c>
    </row>
    <row r="8" customFormat="false" ht="15" hidden="false" customHeight="false" outlineLevel="0" collapsed="false">
      <c r="B8" s="25" t="s">
        <v>120</v>
      </c>
      <c r="C8" s="27" t="b">
        <f aca="false">IF(AND('REIT FFO-AFFO'!C9=0,'REIT FFO-AFFO'!C10=0),'REIT FFO-AFFO'!C7='REIT FFO-AFFO'!C11,TRUE())</f>
        <v>1</v>
      </c>
      <c r="D8" s="26" t="s">
        <v>121</v>
      </c>
    </row>
    <row r="9" customFormat="false" ht="15" hidden="false" customHeight="false" outlineLevel="0" collapsed="false">
      <c r="B9" s="25" t="s">
        <v>122</v>
      </c>
      <c r="C9" s="27" t="n">
        <f aca="false">'5-Year Hold &amp; IRR'!H26-('5-Year Hold &amp; IRR'!G15+'5-Year Hold &amp; IRR'!C23)</f>
        <v>0</v>
      </c>
      <c r="D9" s="26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124</v>
      </c>
    </row>
    <row r="4" customFormat="false" ht="15" hidden="false" customHeight="false" outlineLevel="0" collapsed="false">
      <c r="B4" s="17" t="s">
        <v>125</v>
      </c>
      <c r="C4" s="17" t="s">
        <v>126</v>
      </c>
      <c r="D4" s="17" t="s">
        <v>127</v>
      </c>
      <c r="E4" s="17" t="s">
        <v>128</v>
      </c>
      <c r="F4" s="17" t="s">
        <v>129</v>
      </c>
    </row>
    <row r="5" customFormat="false" ht="15" hidden="false" customHeight="false" outlineLevel="0" collapsed="false">
      <c r="B5" s="28"/>
      <c r="C5" s="28"/>
      <c r="D5" s="28"/>
      <c r="E5" s="28"/>
      <c r="F5" s="28"/>
    </row>
    <row r="6" customFormat="false" ht="15" hidden="false" customHeight="false" outlineLevel="0" collapsed="false">
      <c r="B6" s="28"/>
      <c r="C6" s="28"/>
      <c r="D6" s="28"/>
      <c r="E6" s="28"/>
      <c r="F6" s="28"/>
    </row>
    <row r="7" customFormat="false" ht="15" hidden="false" customHeight="false" outlineLevel="0" collapsed="false">
      <c r="B7" s="28"/>
      <c r="C7" s="28"/>
      <c r="D7" s="28"/>
      <c r="E7" s="28"/>
      <c r="F7" s="28"/>
    </row>
    <row r="8" customFormat="false" ht="15" hidden="false" customHeight="false" outlineLevel="0" collapsed="false">
      <c r="B8" s="28"/>
      <c r="C8" s="28"/>
      <c r="D8" s="28"/>
      <c r="E8" s="28"/>
      <c r="F8" s="28"/>
    </row>
    <row r="9" customFormat="false" ht="15" hidden="false" customHeight="false" outlineLevel="0" collapsed="false">
      <c r="B9" s="28"/>
      <c r="C9" s="28"/>
      <c r="D9" s="28"/>
      <c r="E9" s="28"/>
      <c r="F9" s="28"/>
    </row>
    <row r="10" customFormat="false" ht="15" hidden="false" customHeight="false" outlineLevel="0" collapsed="false">
      <c r="B10" s="28"/>
      <c r="C10" s="28"/>
      <c r="D10" s="28"/>
      <c r="E10" s="28"/>
      <c r="F10" s="28"/>
    </row>
    <row r="11" customFormat="false" ht="15" hidden="false" customHeight="false" outlineLevel="0" collapsed="false">
      <c r="B11" s="28"/>
      <c r="C11" s="28"/>
      <c r="D11" s="28"/>
      <c r="E11" s="28"/>
      <c r="F11" s="28"/>
    </row>
    <row r="12" customFormat="false" ht="15" hidden="false" customHeight="false" outlineLevel="0" collapsed="false">
      <c r="B12" s="28"/>
      <c r="C12" s="28"/>
      <c r="D12" s="28"/>
      <c r="E12" s="28"/>
      <c r="F12" s="28"/>
    </row>
    <row r="13" customFormat="false" ht="15" hidden="false" customHeight="false" outlineLevel="0" collapsed="false">
      <c r="B13" s="28"/>
      <c r="C13" s="28"/>
      <c r="D13" s="28"/>
      <c r="E13" s="28"/>
      <c r="F13" s="28"/>
    </row>
    <row r="14" customFormat="false" ht="15" hidden="false" customHeight="false" outlineLevel="0" collapsed="false">
      <c r="B14" s="28"/>
      <c r="C14" s="28"/>
      <c r="D14" s="28"/>
      <c r="E14" s="28"/>
      <c r="F14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2026-08-04T14:36:53Z</dcterms:created>
  <dc:creator>openpyxl</dc:creator>
  <dc:description/>
  <dc:language>en-US</dc:language>
  <cp:lastModifiedBy/>
  <dcterms:modified xsi:type="dcterms:W3CDTF">2026-08-04T14:36:53Z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