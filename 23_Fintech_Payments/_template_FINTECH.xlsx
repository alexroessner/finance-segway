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Unit Economics" sheetId="2" state="visible" r:id="rId4"/>
    <sheet name="Interchange Economics" sheetId="3" state="visible" r:id="rId5"/>
    <sheet name="Cohort Retention" sheetId="4" state="visible" r:id="rId6"/>
    <sheet name="Fraud &amp; Risk" sheetId="5" state="visible" r:id="rId7"/>
    <sheet name="Sources" sheetId="6" state="visible" r:id="rId8"/>
    <sheet name="Checks" sheetId="7" state="visible" r:id="rId9"/>
    <sheet name="Refresh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<sst xmlns="http://schemas.openxmlformats.org/spreadsheetml/2006/main" count="120" uniqueCount="112">
  <si>
    <t xml:space="preserve">[COMPANY] — Fintech / Payments Model</t>
  </si>
  <si>
    <t xml:space="preserve">Business model:</t>
  </si>
  <si>
    <t xml:space="preserve">Payments / lending / neobank / infra</t>
  </si>
  <si>
    <t xml:space="preserve">Regulatory status:</t>
  </si>
  <si>
    <t xml:space="preserve">[licensed / partner bank / sponsor bank]</t>
  </si>
  <si>
    <t xml:space="preserve">Last refreshed:</t>
  </si>
  <si>
    <t xml:space="preserve">[date]</t>
  </si>
  <si>
    <t xml:space="preserve">Next cohort/unit-economics review:</t>
  </si>
  <si>
    <t xml:space="preserve">Refresh cadence:</t>
  </si>
  <si>
    <t xml:space="preserve">Weekly</t>
  </si>
  <si>
    <t xml:space="preserve">Unit Economics</t>
  </si>
  <si>
    <t xml:space="preserve">Total payment volume, TPV ($/mo)</t>
  </si>
  <si>
    <t xml:space="preserve">Take rate (%)</t>
  </si>
  <si>
    <t xml:space="preserve">Interchange/processing cost (% of TPV)</t>
  </si>
  <si>
    <t xml:space="preserve">CAC ($ per customer)</t>
  </si>
  <si>
    <t xml:space="preserve">Avg monthly revenue per customer ($)</t>
  </si>
  <si>
    <t xml:space="preserve">Monthly gross margin per customer (%)</t>
  </si>
  <si>
    <t xml:space="preserve">Monthly churn rate (%)</t>
  </si>
  <si>
    <t xml:space="preserve">Outputs</t>
  </si>
  <si>
    <t xml:space="preserve">Revenue (take rate x TPV)</t>
  </si>
  <si>
    <t xml:space="preserve">Processing cost ($)</t>
  </si>
  <si>
    <t xml:space="preserve">Net revenue after processing cost</t>
  </si>
  <si>
    <t xml:space="preserve">Customer lifetime (months) = 1/churn</t>
  </si>
  <si>
    <t xml:space="preserve">LTV = monthly rev x gross margin x lifetime</t>
  </si>
  <si>
    <t xml:space="preserve">LTV / CAC ratio</t>
  </si>
  <si>
    <t xml:space="preserve">Rule of thumb: &gt;3x is healthy, &lt;1x means losing money per customer</t>
  </si>
  <si>
    <t xml:space="preserve">CAC payback period (months)</t>
  </si>
  <si>
    <t xml:space="preserve">Interchange Economics — Durbin-Regulated vs. Exempt</t>
  </si>
  <si>
    <t xml:space="preserve">Reg II caps DEBIT interchange for issuers with &gt;$10B in assets. Issuers below that threshold are EXEMPT and can charge network-published unregulated rates -- roughly 3x higher on typical transaction sizes. This is the actual structural reason many neobanks partner with a small "sponsor bank" rather than becoming a bank themselves: it isn't just charter overhead, it's interchange economics.</t>
  </si>
  <si>
    <t xml:space="preserve">Inputs</t>
  </si>
  <si>
    <t xml:space="preserve">Average transaction size ($)</t>
  </si>
  <si>
    <t xml:space="preserve">TPV this period ($/mo)</t>
  </si>
  <si>
    <t xml:space="preserve">Estimated transaction count</t>
  </si>
  <si>
    <t xml:space="preserve">Regulated (Durbin-capped, issuing bank &gt; $10B assets)</t>
  </si>
  <si>
    <t xml:space="preserve">Interchange per transaction (Reg II cap: $0.22 + 0.05% x txn size)</t>
  </si>
  <si>
    <t xml:space="preserve">Effective interchange rate (% of TPV)</t>
  </si>
  <si>
    <t xml:space="preserve">Interchange income/cost this period (rate x TPV)</t>
  </si>
  <si>
    <t xml:space="preserve">Exempt (Durbin-exempt, issuing bank &lt; $10B assets -- typical sponsor-bank structure)</t>
  </si>
  <si>
    <t xml:space="preserve">Interchange per transaction (network unregulated rate: $0.04 + 1.65% x txn size)</t>
  </si>
  <si>
    <t xml:space="preserve">Exempt vs. Regulated Advantage</t>
  </si>
  <si>
    <t xml:space="preserve">$ difference this period (exempt - regulated)</t>
  </si>
  <si>
    <t xml:space="preserve">Annualized $ difference</t>
  </si>
  <si>
    <t xml:space="preserve">Exempt uplift (%)</t>
  </si>
  <si>
    <t xml:space="preserve">This is a per-transaction-size-dependent advantage -- it shrinks toward zero as average ticket size grows, since the ad-valorem component matters more than the fixed component at high ticket sizes.</t>
  </si>
  <si>
    <t xml:space="preserve">Cohort Retention (% of cohort still active)</t>
  </si>
  <si>
    <t xml:space="preserve">Cohort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</si>
  <si>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</si>
  <si>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</si>
  <si>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</si>
  <si>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</si>
  <si>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</si>
  <si>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</si>
  <si>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</si>
  <si>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</si>
  <si>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Jan cohort</t>
  </si>
  <si>
    <t xml:space="preserve">Feb cohort</t>
  </si>
  <si>
    <t xml:space="preserve">Mar cohort</t>
  </si>
  <si>
    <t xml:space="preserve">Apr cohort</t>
  </si>
  <si>
    <t xml:space="preserve">Average retention</t>
  </si>
  <si>
    <t xml:space="preserve">Curve-implied LTV multiplier (sum of avg retention, M0-M7)</t>
  </si>
  <si>
    <t xml:space="preserve">M0 always = 100% by definition. Fill subsequent months as cohorts age.</t>
  </si>
  <si>
    <t xml:space="preserve">Retention-curve LTV = monthly rev x gross margin x this multiplier — compare to the steady-state 1/churn LTV on Unit Economics; a big gap means churn isn't actually constant month to month (usually front-loaded), and the curve number is the more honest one.</t>
  </si>
  <si>
    <t xml:space="preserve">Fraud, Chargeback &amp; Credit Loss</t>
  </si>
  <si>
    <t xml:space="preserve">Fraud loss rate (bps of TPV)</t>
  </si>
  <si>
    <t xml:space="preserve">Chargeback count (this period)</t>
  </si>
  <si>
    <t xml:space="preserve">Chargeback cost per incident ($, fee + lost goods)</t>
  </si>
  <si>
    <t xml:space="preserve">Credit losses — lending book only, if applicable ($)</t>
  </si>
  <si>
    <t xml:space="preserve">Fraud loss ($)</t>
  </si>
  <si>
    <t xml:space="preserve">bps convention: 8 bps = 0.08%</t>
  </si>
  <si>
    <t xml:space="preserve">Chargeback cost ($)</t>
  </si>
  <si>
    <t xml:space="preserve">Total risk-related loss ($)</t>
  </si>
  <si>
    <t xml:space="preserve">Total loss as % of net revenue</t>
  </si>
  <si>
    <t xml:space="preserve">Card networks typically flag issuers/acquirers above ~90-100bps fraud-to-TPV as a monitoring risk</t>
  </si>
  <si>
    <t xml:space="preserve">Sources</t>
  </si>
  <si>
    <t xml:space="preserve">What each material assumption or convention in this model comes from.</t>
  </si>
  <si>
    <t xml:space="preserve">Assumption / convention</t>
  </si>
  <si>
    <t xml:space="preserve">Source</t>
  </si>
  <si>
    <t xml:space="preserve">As of</t>
  </si>
  <si>
    <t xml:space="preserve">Note</t>
  </si>
  <si>
    <t xml:space="preserve">Reg II regulated debit interchange cap ($0.22 + 0.05%)</t>
  </si>
  <si>
    <t xml:space="preserve">Federal Reserve Regulation II (Durbin Amendment implementing rule), covered issuers &gt;$10B in assets</t>
  </si>
  <si>
    <t xml:space="preserve">Statutory/regulatory cap</t>
  </si>
  <si>
    <t xml:space="preserve">Includes the optional $0.01 fraud-prevention adjustment folded into the $0.22 base; actual issuer cap can vary slightly by fraud-prevention-standard compliance</t>
  </si>
  <si>
    <t xml:space="preserve">Durbin-exempt unregulated debit rate ($0.04 + 1.65%)</t>
  </si>
  <si>
    <t xml:space="preserve">Network-published unregulated debit interchange schedules (Visa/Mastercard), issuers &lt;$10B in assets</t>
  </si>
  <si>
    <t xml:space="preserve">Standard practice / network schedules</t>
  </si>
  <si>
    <t xml:space="preserve">Illustrative approximation of published schedules -- actual rates vary by card program, merchant category, and network</t>
  </si>
  <si>
    <t xml:space="preserve">LTV = monthly revenue x gross margin x customer lifetime (1/churn)</t>
  </si>
  <si>
    <t xml:space="preserve">Standard SaaS/subscription LTV formula adapted for fintech unit economics</t>
  </si>
  <si>
    <t xml:space="preserve">Standard practice</t>
  </si>
  <si>
    <t xml:space="preserve">Assumes constant monthly churn -- the Cohort Retention tab's curve-implied multiplier is the more honest number when churn is front-loaded</t>
  </si>
  <si>
    <t xml:space="preserve">Fraud loss rate in bps of TPV</t>
  </si>
  <si>
    <t xml:space="preserve">Standard payments-industry convention</t>
  </si>
  <si>
    <t xml:space="preserve">Card networks typically flag issuers/acquirers above ~90-100bps fraud-to-TPV as a monitoring risk, per the Fraud &amp; Risk tab's note</t>
  </si>
  <si>
    <t xml:space="preserve">Checks</t>
  </si>
  <si>
    <t xml:space="preserve">Live reconciliation identities -- independent of the model's own formulas, must tie.</t>
  </si>
  <si>
    <t xml:space="preserve">Check</t>
  </si>
  <si>
    <t xml:space="preserve">Result</t>
  </si>
  <si>
    <t xml:space="preserve">Passes when</t>
  </si>
  <si>
    <t xml:space="preserve">Exempt interchange income exceeds regulated at typical ticket sizes ($40 test)</t>
  </si>
  <si>
    <t xml:space="preserve">TRUE at the $40 default -- confirms the Durbin-exempt advantage is actually wired, not just labeled</t>
  </si>
  <si>
    <t xml:space="preserve">Interchange income ties: rate x TPV = per-txn fee x transaction count (Regulated)</t>
  </si>
  <si>
    <t xml:space="preserve">0 (exact) once TPV is populated</t>
  </si>
  <si>
    <t xml:space="preserve">Interchange income ties: rate x TPV = per-txn fee x transaction count (Exempt)</t>
  </si>
  <si>
    <t xml:space="preserve">Cohort M0 retention is always 100% by definition</t>
  </si>
  <si>
    <t xml:space="preserve">TRUE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</si>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</sst>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0%;\(0.00%\);\-"/>
    <numFmt numFmtId="167" formatCode="0.0%;\(0.0%\);\-"/>
    <numFmt numFmtId="168" formatCode="0.0"/>
    <numFmt numFmtId="169" formatCode="0.00\x"/>
    <numFmt numFmtId="170" formatCode="\$#,##0.00;&quot;($&quot;#,##0.00\);\-"/>
    <numFmt numFmtId="171" formatCode="#,##0;\(#,##0\);\-"/>
    <numFmt numFmtId="172" formatCode="0.00"/>
    <numFmt numFmtId="173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6</v>
      </c>
    </row>
    <row r="8" customFormat="false" ht="15" hidden="false" customHeight="false" outlineLevel="0" collapsed="false">
      <c r="B8" s="3" t="s">
        <v>8</v>
      </c>
      <c r="C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10</v>
      </c>
    </row>
    <row r="5" customFormat="false" ht="15" hidden="false" customHeight="false" outlineLevel="0" collapsed="false">
      <c r="B5" s="5" t="s">
        <v>11</v>
      </c>
      <c r="C5" s="6" t="n">
        <v>0</v>
      </c>
    </row>
    <row r="6" customFormat="false" ht="15" hidden="false" customHeight="false" outlineLevel="0" collapsed="false">
      <c r="B6" s="5" t="s">
        <v>12</v>
      </c>
      <c r="C6" s="7" t="n">
        <v>0.025</v>
      </c>
    </row>
    <row r="7" customFormat="false" ht="15" hidden="false" customHeight="false" outlineLevel="0" collapsed="false">
      <c r="B7" s="5" t="s">
        <v>13</v>
      </c>
      <c r="C7" s="7" t="n">
        <v>0.015</v>
      </c>
    </row>
    <row r="8" customFormat="false" ht="15" hidden="false" customHeight="false" outlineLevel="0" collapsed="false">
      <c r="B8" s="5" t="s">
        <v>14</v>
      </c>
      <c r="C8" s="6" t="n">
        <v>0</v>
      </c>
    </row>
    <row r="9" customFormat="false" ht="15" hidden="false" customHeight="false" outlineLevel="0" collapsed="false">
      <c r="B9" s="5" t="s">
        <v>15</v>
      </c>
      <c r="C9" s="6" t="n">
        <v>0</v>
      </c>
    </row>
    <row r="10" customFormat="false" ht="15" hidden="false" customHeight="false" outlineLevel="0" collapsed="false">
      <c r="B10" s="5" t="s">
        <v>16</v>
      </c>
      <c r="C10" s="8" t="n">
        <v>0.6</v>
      </c>
    </row>
    <row r="11" customFormat="false" ht="15" hidden="false" customHeight="false" outlineLevel="0" collapsed="false">
      <c r="B11" s="5" t="s">
        <v>17</v>
      </c>
      <c r="C11" s="8" t="n">
        <v>0.03</v>
      </c>
    </row>
    <row r="13" customFormat="false" ht="15" hidden="false" customHeight="false" outlineLevel="0" collapsed="false">
      <c r="B13" s="9" t="s">
        <v>18</v>
      </c>
    </row>
    <row r="14" customFormat="false" ht="15" hidden="false" customHeight="false" outlineLevel="0" collapsed="false">
      <c r="B14" s="1" t="s">
        <v>19</v>
      </c>
      <c r="C14" s="10" t="n">
        <f aca="false">C5*C6</f>
        <v>0</v>
      </c>
    </row>
    <row r="15" customFormat="false" ht="15" hidden="false" customHeight="false" outlineLevel="0" collapsed="false">
      <c r="B15" s="1" t="s">
        <v>20</v>
      </c>
      <c r="C15" s="10" t="n">
        <f aca="false">C5*C7</f>
        <v>0</v>
      </c>
    </row>
    <row r="16" customFormat="false" ht="15" hidden="false" customHeight="false" outlineLevel="0" collapsed="false">
      <c r="B16" s="1" t="s">
        <v>21</v>
      </c>
      <c r="C16" s="11" t="n">
        <f aca="false">C14-C15</f>
        <v>0</v>
      </c>
    </row>
    <row r="17" customFormat="false" ht="15" hidden="false" customHeight="false" outlineLevel="0" collapsed="false">
      <c r="B17" s="1" t="s">
        <v>22</v>
      </c>
      <c r="C17" s="12" t="n">
        <f aca="false">IFERROR(1/C11,"-")</f>
        <v>33.3333333333333</v>
      </c>
    </row>
    <row r="18" customFormat="false" ht="15" hidden="false" customHeight="false" outlineLevel="0" collapsed="false">
      <c r="B18" s="1" t="s">
        <v>23</v>
      </c>
      <c r="C18" s="11" t="n">
        <f aca="false">C9*C10*C17</f>
        <v>0</v>
      </c>
    </row>
    <row r="19" customFormat="false" ht="15" hidden="false" customHeight="false" outlineLevel="0" collapsed="false">
      <c r="B19" s="1" t="s">
        <v>24</v>
      </c>
      <c r="C19" s="13" t="str">
        <f aca="false">IFERROR(C18/C8,"-")</f>
        <v>-</v>
      </c>
      <c r="D19" s="14" t="s">
        <v>25</v>
      </c>
    </row>
    <row r="20" customFormat="false" ht="15" hidden="false" customHeight="false" outlineLevel="0" collapsed="false">
      <c r="B20" s="1" t="s">
        <v>26</v>
      </c>
      <c r="C20" s="12" t="str">
        <f aca="false">IFERROR(C8/(C9*C10),"-")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0"/>
  </cols>
  <sheetData>
    <row r="2" customFormat="false" ht="19.7" hidden="false" customHeight="false" outlineLevel="0" collapsed="false">
      <c r="B2" s="2" t="s">
        <v>27</v>
      </c>
    </row>
    <row r="3" customFormat="false" ht="15" hidden="false" customHeight="false" outlineLevel="0" collapsed="false">
      <c r="B3" s="14" t="s">
        <v>28</v>
      </c>
    </row>
    <row r="5" customFormat="false" ht="15" hidden="false" customHeight="false" outlineLevel="0" collapsed="false">
      <c r="B5" s="9" t="s">
        <v>29</v>
      </c>
    </row>
    <row r="6" customFormat="false" ht="15" hidden="false" customHeight="false" outlineLevel="0" collapsed="false">
      <c r="B6" s="1" t="s">
        <v>30</v>
      </c>
      <c r="C6" s="15" t="n">
        <v>40</v>
      </c>
    </row>
    <row r="7" customFormat="false" ht="15" hidden="false" customHeight="false" outlineLevel="0" collapsed="false">
      <c r="B7" s="1" t="s">
        <v>31</v>
      </c>
      <c r="C7" s="16" t="n">
        <f aca="false">'Unit Economics'!C5</f>
        <v>0</v>
      </c>
    </row>
    <row r="8" customFormat="false" ht="15" hidden="false" customHeight="false" outlineLevel="0" collapsed="false">
      <c r="B8" s="1" t="s">
        <v>32</v>
      </c>
      <c r="C8" s="17" t="n">
        <f aca="false">IFERROR(C7/C6,"-")</f>
        <v>0</v>
      </c>
    </row>
    <row r="10" customFormat="false" ht="15" hidden="false" customHeight="false" outlineLevel="0" collapsed="false">
      <c r="B10" s="9" t="s">
        <v>33</v>
      </c>
    </row>
    <row r="11" customFormat="false" ht="15" hidden="false" customHeight="false" outlineLevel="0" collapsed="false">
      <c r="B11" s="1" t="s">
        <v>34</v>
      </c>
      <c r="C11" s="18" t="n">
        <f aca="false">0.22+0.0005*C6</f>
        <v>0.24</v>
      </c>
    </row>
    <row r="12" customFormat="false" ht="15" hidden="false" customHeight="false" outlineLevel="0" collapsed="false">
      <c r="B12" s="1" t="s">
        <v>35</v>
      </c>
      <c r="C12" s="19" t="n">
        <f aca="false">IFERROR(C11/C6,"-")</f>
        <v>0.006</v>
      </c>
    </row>
    <row r="13" customFormat="false" ht="15" hidden="false" customHeight="false" outlineLevel="0" collapsed="false">
      <c r="B13" s="1" t="s">
        <v>36</v>
      </c>
      <c r="C13" s="11" t="n">
        <f aca="false">IFERROR(C12*C7,"-")</f>
        <v>0</v>
      </c>
    </row>
    <row r="15" customFormat="false" ht="15" hidden="false" customHeight="false" outlineLevel="0" collapsed="false">
      <c r="B15" s="9" t="s">
        <v>37</v>
      </c>
    </row>
    <row r="16" customFormat="false" ht="15" hidden="false" customHeight="false" outlineLevel="0" collapsed="false">
      <c r="B16" s="1" t="s">
        <v>38</v>
      </c>
      <c r="C16" s="18" t="n">
        <f aca="false">0.04+0.0165*C6</f>
        <v>0.7</v>
      </c>
    </row>
    <row r="17" customFormat="false" ht="15" hidden="false" customHeight="false" outlineLevel="0" collapsed="false">
      <c r="B17" s="1" t="s">
        <v>35</v>
      </c>
      <c r="C17" s="19" t="n">
        <f aca="false">IFERROR(C16/C6,"-")</f>
        <v>0.0175</v>
      </c>
    </row>
    <row r="18" customFormat="false" ht="15" hidden="false" customHeight="false" outlineLevel="0" collapsed="false">
      <c r="B18" s="1" t="s">
        <v>36</v>
      </c>
      <c r="C18" s="11" t="n">
        <f aca="false">IFERROR(C17*C7,"-")</f>
        <v>0</v>
      </c>
    </row>
    <row r="20" customFormat="false" ht="15" hidden="false" customHeight="false" outlineLevel="0" collapsed="false">
      <c r="B20" s="9" t="s">
        <v>39</v>
      </c>
    </row>
    <row r="21" customFormat="false" ht="15" hidden="false" customHeight="false" outlineLevel="0" collapsed="false">
      <c r="B21" s="1" t="s">
        <v>40</v>
      </c>
      <c r="C21" s="11" t="n">
        <f aca="false">C18-C13</f>
        <v>0</v>
      </c>
    </row>
    <row r="22" customFormat="false" ht="15" hidden="false" customHeight="false" outlineLevel="0" collapsed="false">
      <c r="B22" s="1" t="s">
        <v>41</v>
      </c>
      <c r="C22" s="10" t="n">
        <f aca="false">C21*12</f>
        <v>0</v>
      </c>
    </row>
    <row r="23" customFormat="false" ht="15" hidden="false" customHeight="false" outlineLevel="0" collapsed="false">
      <c r="B23" s="1" t="s">
        <v>42</v>
      </c>
      <c r="C23" s="20" t="str">
        <f aca="false">IFERROR(C18/C13-1,"-")</f>
        <v>-</v>
      </c>
      <c r="D23" s="1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10" min="3" style="1" width="10"/>
  </cols>
  <sheetData>
    <row r="2" customFormat="false" ht="19.7" hidden="false" customHeight="false" outlineLevel="0" collapsed="false">
      <c r="B2" s="2" t="s">
        <v>44</v>
      </c>
    </row>
    <row r="4" customFormat="false" ht="15" hidden="false" customHeight="false" outlineLevel="0" collapsed="false">
      <c r="B4" s="9" t="s">
        <v>45</v>
      </c>
      <c r="C4" s="9" t="s">
        <v>46</v>
      </c>
      <c r="D4" s="9" t="s">
        <v>47</v>
      </c>
      <c r="E4" s="9" t="s">
        <v>48</v>
      </c>
      <c r="F4" s="9" t="s">
        <v>49</v>
      </c>
      <c r="G4" s="9" t="s">
        <v>50</v>
      </c>
      <c r="H4" s="9" t="s">
        <v>51</v>
      </c>
      <c r="I4" s="9" t="s">
        <v>52</v>
      </c>
      <c r="J4" s="9" t="s">
        <v>53</v>
      </c>
    </row>
    <row r="5" customFormat="false" ht="15" hidden="false" customHeight="false" outlineLevel="0" collapsed="false">
      <c r="B5" s="3" t="s">
        <v>54</v>
      </c>
      <c r="C5" s="21" t="n">
        <v>1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</row>
    <row r="6" customFormat="false" ht="15" hidden="false" customHeight="false" outlineLevel="0" collapsed="false">
      <c r="B6" s="3" t="s">
        <v>55</v>
      </c>
      <c r="C6" s="21" t="n">
        <v>1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</row>
    <row r="7" customFormat="false" ht="15" hidden="false" customHeight="false" outlineLevel="0" collapsed="false">
      <c r="B7" s="3" t="s">
        <v>56</v>
      </c>
      <c r="C7" s="21" t="n">
        <v>1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</row>
    <row r="8" customFormat="false" ht="15" hidden="false" customHeight="false" outlineLevel="0" collapsed="false">
      <c r="B8" s="3" t="s">
        <v>57</v>
      </c>
      <c r="C8" s="21" t="n">
        <v>1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</row>
    <row r="9" customFormat="false" ht="15" hidden="false" customHeight="false" outlineLevel="0" collapsed="false">
      <c r="B9" s="3" t="s">
        <v>58</v>
      </c>
      <c r="C9" s="22" t="n">
        <f aca="false">AVERAGE(C5:C8)</f>
        <v>1</v>
      </c>
      <c r="D9" s="22" t="n">
        <f aca="false">AVERAGE(D5:D8)</f>
        <v>0</v>
      </c>
      <c r="E9" s="22" t="n">
        <f aca="false">AVERAGE(E5:E8)</f>
        <v>0</v>
      </c>
      <c r="F9" s="22" t="n">
        <f aca="false">AVERAGE(F5:F8)</f>
        <v>0</v>
      </c>
      <c r="G9" s="22" t="n">
        <f aca="false">AVERAGE(G5:G8)</f>
        <v>0</v>
      </c>
      <c r="H9" s="22" t="n">
        <f aca="false">AVERAGE(H5:H8)</f>
        <v>0</v>
      </c>
      <c r="I9" s="22" t="n">
        <f aca="false">AVERAGE(I5:I8)</f>
        <v>0</v>
      </c>
      <c r="J9" s="22" t="n">
        <f aca="false">AVERAGE(J5:J8)</f>
        <v>0</v>
      </c>
    </row>
    <row r="10" customFormat="false" ht="15" hidden="false" customHeight="false" outlineLevel="0" collapsed="false">
      <c r="B10" s="1" t="s">
        <v>59</v>
      </c>
      <c r="C10" s="23" t="n">
        <f aca="false">SUM(C9:J9)</f>
        <v>1</v>
      </c>
    </row>
    <row r="11" customFormat="false" ht="15" hidden="false" customHeight="false" outlineLevel="0" collapsed="false">
      <c r="B11" s="14" t="s">
        <v>60</v>
      </c>
    </row>
    <row r="12" customFormat="false" ht="15" hidden="false" customHeight="false" outlineLevel="0" collapsed="false">
      <c r="B12" s="1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4"/>
  </cols>
  <sheetData>
    <row r="2" customFormat="false" ht="19.7" hidden="false" customHeight="false" outlineLevel="0" collapsed="false">
      <c r="B2" s="2" t="s">
        <v>62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5" t="s">
        <v>11</v>
      </c>
      <c r="C5" s="6" t="n">
        <v>0</v>
      </c>
    </row>
    <row r="6" customFormat="false" ht="15" hidden="false" customHeight="false" outlineLevel="0" collapsed="false">
      <c r="B6" s="5" t="s">
        <v>63</v>
      </c>
      <c r="C6" s="24" t="n">
        <v>8</v>
      </c>
    </row>
    <row r="7" customFormat="false" ht="15" hidden="false" customHeight="false" outlineLevel="0" collapsed="false">
      <c r="B7" s="5" t="s">
        <v>64</v>
      </c>
      <c r="C7" s="24" t="n">
        <v>0</v>
      </c>
    </row>
    <row r="8" customFormat="false" ht="15" hidden="false" customHeight="false" outlineLevel="0" collapsed="false">
      <c r="B8" s="5" t="s">
        <v>65</v>
      </c>
      <c r="C8" s="6" t="n">
        <v>25</v>
      </c>
    </row>
    <row r="9" customFormat="false" ht="15" hidden="false" customHeight="false" outlineLevel="0" collapsed="false">
      <c r="B9" s="5" t="s">
        <v>66</v>
      </c>
      <c r="C9" s="6" t="n">
        <v>0</v>
      </c>
    </row>
    <row r="11" customFormat="false" ht="15" hidden="false" customHeight="false" outlineLevel="0" collapsed="false">
      <c r="B11" s="9" t="s">
        <v>18</v>
      </c>
    </row>
    <row r="12" customFormat="false" ht="15" hidden="false" customHeight="false" outlineLevel="0" collapsed="false">
      <c r="B12" s="1" t="s">
        <v>67</v>
      </c>
      <c r="C12" s="10" t="n">
        <f aca="false">C5*C6/10000</f>
        <v>0</v>
      </c>
      <c r="D12" s="14" t="s">
        <v>68</v>
      </c>
    </row>
    <row r="13" customFormat="false" ht="15" hidden="false" customHeight="false" outlineLevel="0" collapsed="false">
      <c r="B13" s="1" t="s">
        <v>69</v>
      </c>
      <c r="C13" s="10" t="n">
        <f aca="false">C7*C8</f>
        <v>0</v>
      </c>
    </row>
    <row r="14" customFormat="false" ht="15" hidden="false" customHeight="false" outlineLevel="0" collapsed="false">
      <c r="B14" s="1" t="s">
        <v>70</v>
      </c>
      <c r="C14" s="11" t="n">
        <f aca="false">C12+C13+C9</f>
        <v>0</v>
      </c>
    </row>
    <row r="15" customFormat="false" ht="15" hidden="false" customHeight="false" outlineLevel="0" collapsed="false">
      <c r="B15" s="1" t="s">
        <v>71</v>
      </c>
      <c r="C15" s="25" t="str">
        <f aca="false">IFERROR(C14/'Unit Economics'!C16,"-")</f>
        <v>-</v>
      </c>
      <c r="D15" s="14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19.7" hidden="false" customHeight="false" outlineLevel="0" collapsed="false">
      <c r="B2" s="2" t="s">
        <v>73</v>
      </c>
    </row>
    <row r="3" customFormat="false" ht="15" hidden="false" customHeight="false" outlineLevel="0" collapsed="false">
      <c r="B3" s="14" t="s">
        <v>74</v>
      </c>
    </row>
    <row r="5" customFormat="false" ht="15" hidden="false" customHeight="false" outlineLevel="0" collapsed="false">
      <c r="B5" s="26" t="s">
        <v>75</v>
      </c>
      <c r="C5" s="26" t="s">
        <v>76</v>
      </c>
      <c r="D5" s="26" t="s">
        <v>77</v>
      </c>
      <c r="E5" s="26" t="s">
        <v>78</v>
      </c>
    </row>
    <row r="6" customFormat="false" ht="15" hidden="false" customHeight="false" outlineLevel="0" collapsed="false">
      <c r="B6" s="27" t="s">
        <v>79</v>
      </c>
      <c r="C6" s="27" t="s">
        <v>80</v>
      </c>
      <c r="D6" s="27" t="s">
        <v>81</v>
      </c>
      <c r="E6" s="28" t="s">
        <v>82</v>
      </c>
    </row>
    <row r="7" customFormat="false" ht="15" hidden="false" customHeight="false" outlineLevel="0" collapsed="false">
      <c r="B7" s="27" t="s">
        <v>83</v>
      </c>
      <c r="C7" s="27" t="s">
        <v>84</v>
      </c>
      <c r="D7" s="27" t="s">
        <v>85</v>
      </c>
      <c r="E7" s="28" t="s">
        <v>86</v>
      </c>
    </row>
    <row r="8" customFormat="false" ht="15" hidden="false" customHeight="false" outlineLevel="0" collapsed="false">
      <c r="B8" s="27" t="s">
        <v>87</v>
      </c>
      <c r="C8" s="27" t="s">
        <v>88</v>
      </c>
      <c r="D8" s="27" t="s">
        <v>89</v>
      </c>
      <c r="E8" s="28" t="s">
        <v>90</v>
      </c>
    </row>
    <row r="9" customFormat="false" ht="15" hidden="false" customHeight="false" outlineLevel="0" collapsed="false">
      <c r="B9" s="27" t="s">
        <v>91</v>
      </c>
      <c r="C9" s="27" t="s">
        <v>92</v>
      </c>
      <c r="D9" s="27" t="s">
        <v>89</v>
      </c>
      <c r="E9" s="28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94</v>
      </c>
    </row>
    <row r="3" customFormat="false" ht="15" hidden="false" customHeight="false" outlineLevel="0" collapsed="false">
      <c r="B3" s="14" t="s">
        <v>95</v>
      </c>
    </row>
    <row r="5" customFormat="false" ht="15" hidden="false" customHeight="false" outlineLevel="0" collapsed="false">
      <c r="B5" s="26" t="s">
        <v>96</v>
      </c>
      <c r="C5" s="26" t="s">
        <v>97</v>
      </c>
      <c r="D5" s="26" t="s">
        <v>98</v>
      </c>
    </row>
    <row r="6" customFormat="false" ht="15" hidden="false" customHeight="false" outlineLevel="0" collapsed="false">
      <c r="B6" s="27" t="s">
        <v>99</v>
      </c>
      <c r="C6" s="29" t="b">
        <f aca="false">IF('Interchange Economics'!C6=40,'Interchange Economics'!C18&gt;'Interchange Economics'!C13,TRUE())</f>
        <v>0</v>
      </c>
      <c r="D6" s="28" t="s">
        <v>100</v>
      </c>
    </row>
    <row r="7" customFormat="false" ht="15" hidden="false" customHeight="false" outlineLevel="0" collapsed="false">
      <c r="B7" s="27" t="s">
        <v>101</v>
      </c>
      <c r="C7" s="29" t="n">
        <f aca="false">IFERROR('Interchange Economics'!C13-('Interchange Economics'!C11*'Interchange Economics'!C8),"-")</f>
        <v>0</v>
      </c>
      <c r="D7" s="28" t="s">
        <v>102</v>
      </c>
    </row>
    <row r="8" customFormat="false" ht="15" hidden="false" customHeight="false" outlineLevel="0" collapsed="false">
      <c r="B8" s="27" t="s">
        <v>103</v>
      </c>
      <c r="C8" s="29" t="n">
        <f aca="false">IFERROR('Interchange Economics'!C18-('Interchange Economics'!C16*'Interchange Economics'!C8),"-")</f>
        <v>0</v>
      </c>
      <c r="D8" s="28" t="s">
        <v>102</v>
      </c>
    </row>
    <row r="9" customFormat="false" ht="15" hidden="false" customHeight="false" outlineLevel="0" collapsed="false">
      <c r="B9" s="27" t="s">
        <v>104</v>
      </c>
      <c r="C9" s="29" t="b">
        <f aca="false">IF(COUNTIF('Cohort Retention'!C5:C8,1)=4,TRUE(),FALSE())</f>
        <v>1</v>
      </c>
      <c r="D9" s="2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106</v>
      </c>
    </row>
    <row r="4" customFormat="false" ht="15" hidden="false" customHeight="false" outlineLevel="0" collapsed="false">
      <c r="B4" s="26" t="s">
        <v>107</v>
      </c>
      <c r="C4" s="26" t="s">
        <v>108</v>
      </c>
      <c r="D4" s="26" t="s">
        <v>109</v>
      </c>
      <c r="E4" s="26" t="s">
        <v>110</v>
      </c>
      <c r="F4" s="26" t="s">
        <v>111</v>
      </c>
    </row>
    <row r="5" customFormat="false" ht="15" hidden="false" customHeight="false" outlineLevel="0" collapsed="false">
      <c r="B5" s="30"/>
      <c r="C5" s="30"/>
      <c r="D5" s="30"/>
      <c r="E5" s="30"/>
      <c r="F5" s="30"/>
    </row>
    <row r="6" customFormat="false" ht="15" hidden="false" customHeight="false" outlineLevel="0" collapsed="false">
      <c r="B6" s="30"/>
      <c r="C6" s="30"/>
      <c r="D6" s="30"/>
      <c r="E6" s="30"/>
      <c r="F6" s="30"/>
    </row>
    <row r="7" customFormat="false" ht="15" hidden="false" customHeight="false" outlineLevel="0" collapsed="false">
      <c r="B7" s="30"/>
      <c r="C7" s="30"/>
      <c r="D7" s="30"/>
      <c r="E7" s="30"/>
      <c r="F7" s="30"/>
    </row>
    <row r="8" customFormat="false" ht="15" hidden="false" customHeight="false" outlineLevel="0" collapsed="false">
      <c r="B8" s="30"/>
      <c r="C8" s="30"/>
      <c r="D8" s="30"/>
      <c r="E8" s="30"/>
      <c r="F8" s="30"/>
    </row>
    <row r="9" customFormat="false" ht="15" hidden="false" customHeight="false" outlineLevel="0" collapsed="false">
      <c r="B9" s="30"/>
      <c r="C9" s="30"/>
      <c r="D9" s="30"/>
      <c r="E9" s="30"/>
      <c r="F9" s="30"/>
    </row>
    <row r="10" customFormat="false" ht="15" hidden="false" customHeight="false" outlineLevel="0" collapsed="false">
      <c r="B10" s="30"/>
      <c r="C10" s="30"/>
      <c r="D10" s="30"/>
      <c r="E10" s="30"/>
      <c r="F10" s="30"/>
    </row>
    <row r="11" customFormat="false" ht="15" hidden="false" customHeight="false" outlineLevel="0" collapsed="false">
      <c r="B11" s="30"/>
      <c r="C11" s="30"/>
      <c r="D11" s="30"/>
      <c r="E11" s="30"/>
      <c r="F11" s="30"/>
    </row>
    <row r="12" customFormat="false" ht="15" hidden="false" customHeight="false" outlineLevel="0" collapsed="false">
      <c r="B12" s="30"/>
      <c r="C12" s="30"/>
      <c r="D12" s="30"/>
      <c r="E12" s="30"/>
      <c r="F12" s="30"/>
    </row>
    <row r="13" customFormat="false" ht="15" hidden="false" customHeight="false" outlineLevel="0" collapsed="false">
      <c r="B13" s="30"/>
      <c r="C13" s="30"/>
      <c r="D13" s="30"/>
      <c r="E13" s="30"/>
      <c r="F13" s="30"/>
    </row>
    <row r="14" customFormat="false" ht="15" hidden="false" customHeight="false" outlineLevel="0" collapsed="false">
      <c r="B14" s="30"/>
      <c r="C14" s="30"/>
      <c r="D14" s="30"/>
      <c r="E14" s="30"/>
      <c r="F1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2026-08-04T14:08:29Z</dcterms:created>
  <dc:creator>openpyxl</dc:creator>
  <dc:description/>
  <dc:language>en-US</dc:language>
  <cp:lastModifiedBy/>
  <dcterms:modified xsi:type="dcterms:W3CDTF">2026-08-04T14:08:29Z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