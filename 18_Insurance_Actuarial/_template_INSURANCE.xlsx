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Underwriting Ratios" sheetId="2" state="visible" r:id="rId4"/>
    <sheet name="Loss Reserve Triangle" sheetId="3" state="visible" r:id="rId5"/>
    <sheet name="Bornhuetter-Ferguson" sheetId="4" state="visible" r:id="rId6"/>
    <sheet name="Mack Method" sheetId="5" state="visible" r:id="rId7"/>
    <sheet name="Embedded Value" sheetId="6" state="visible" r:id="rId8"/>
    <sheet name="Reserve Summary" sheetId="7" state="visible" r:id="rId9"/>
    <sheet name="Profitability" sheetId="8" state="visible" r:id="rId10"/>
    <sheet name="Sources" sheetId="9" state="visible" r:id="rId11"/>
    <sheet name="Checks" sheetId="10" state="visible" r:id="rId12"/>
    <sheet name="RefreshLog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<sst xmlns="http://schemas.openxmlformats.org/spreadsheetml/2006/main" count="175" uniqueCount="144">
  <si>
    <t xml:space="preserve">[INSURER] — Insurance / Actuarial Model</t>
  </si>
  <si>
    <t xml:space="preserve">Line of business:</t>
  </si>
  <si>
    <t xml:space="preserve">P&amp;C / Life / Health / Reinsurance</t>
  </si>
  <si>
    <t xml:space="preserve">Carrier / cedant:</t>
  </si>
  <si>
    <t xml:space="preserve">[fill in]</t>
  </si>
  <si>
    <t xml:space="preserve">Last refreshed:</t>
  </si>
  <si>
    <t xml:space="preserve">[date]</t>
  </si>
  <si>
    <t xml:space="preserve">Next reserve review date:</t>
  </si>
  <si>
    <t xml:space="preserve">Refresh cadence:</t>
  </si>
  <si>
    <t xml:space="preserve">Weekly (quarterly for reserves)</t>
  </si>
  <si>
    <t xml:space="preserve">Underwriting Performance</t>
  </si>
  <si>
    <t xml:space="preserve">Earned premium ($)</t>
  </si>
  <si>
    <t xml:space="preserve">Incurred losses ($)</t>
  </si>
  <si>
    <t xml:space="preserve">Loss adjustment expenses ($)</t>
  </si>
  <si>
    <t xml:space="preserve">Underwriting expenses ($)</t>
  </si>
  <si>
    <t xml:space="preserve">Loss ratio</t>
  </si>
  <si>
    <t xml:space="preserve">Expense ratio</t>
  </si>
  <si>
    <t xml:space="preserve">Combined ratio</t>
  </si>
  <si>
    <t xml:space="preserve">&lt;100% = underwriting profit; &gt;100% = underwriting loss (offset by investment income)</t>
  </si>
  <si>
    <t xml:space="preserve">Loss Development Triangle — chain-ladder (cumulative paid losses, $)</t>
  </si>
  <si>
    <t xml:space="preserve">Accident Yr \ Dev Yr</t>
  </si>
  <si>
    <t xml:space="preserve">Dev 1</t>
  </si>
  <si>
    <t xml:space="preserve">Dev 2</t>
  </si>
  <si>
    <t xml:space="preserve">Dev 3</t>
  </si>
  <si>
    <t xml:space="preserve">Dev 4</t>
  </si>
  <si>
    <t xml:space="preserve">Dev 5</t>
  </si>
  <si>
    <t xml:space="preserve">Dev 6</t>
  </si>
  <si>
    <t xml:space="preserve">Ultimate Loss</t>
  </si>
  <si>
    <t xml:space="preserve">IBNR</t>
  </si>
  <si>
    <t xml:space="preserve">AY2020</t>
  </si>
  <si>
    <t xml:space="preserve">AY2021</t>
  </si>
  <si>
    <t xml:space="preserve">AY2022</t>
  </si>
  <si>
    <t xml:space="preserve">AY2023</t>
  </si>
  <si>
    <t xml:space="preserve">AY2024</t>
  </si>
  <si>
    <t xml:space="preserve">AY2025</t>
  </si>
  <si>
    <t xml:space="preserve">Age-to-age factor</t>
  </si>
  <si>
    <t xml:space="preserve">CDF to ultimate</t>
  </si>
  <si>
    <t xml:space="preserve">Total ultimate / IBNR</t>
  </si>
  <si>
    <t xml:space="preserve">Standard volume-weighted chain-ladder. Link factors use only accident years with data in both adjacent columns (upper-left triangle) — that's why each factor's denominator shrinks moving right.</t>
  </si>
  <si>
    <t xml:space="preserve">Bornhuetter-Ferguson Reserving</t>
  </si>
  <si>
    <t xml:space="preserve">Expected loss ratio (a priori, %)</t>
  </si>
  <si>
    <t xml:space="preserve">From pricing / plan, independent of the loss triangle itself — the whole point is not to derive this from the same thin data chain-ladder relies on</t>
  </si>
  <si>
    <t xml:space="preserve">Accident Yr</t>
  </si>
  <si>
    <t xml:space="preserve">Earned Premium</t>
  </si>
  <si>
    <t xml:space="preserve">Expected Ultimate (ELR x Premium)</t>
  </si>
  <si>
    <t xml:space="preserve">Actual Reported (latest diagonal)</t>
  </si>
  <si>
    <t xml:space="preserve">CDF</t>
  </si>
  <si>
    <t xml:space="preserve">% Reported (1/CDF)</t>
  </si>
  <si>
    <t xml:space="preserve">BF IBNR</t>
  </si>
  <si>
    <t xml:space="preserve">BF Ultimate</t>
  </si>
  <si>
    <t xml:space="preserve">Chain-Ladder Ultimate</t>
  </si>
  <si>
    <t xml:space="preserve">BF - CL Difference</t>
  </si>
  <si>
    <t xml:space="preserve">Total</t>
  </si>
  <si>
    <t xml:space="preserve">BF Ultimate = Actual reported + Expected ultimate x (1 - 1/CDF). At full maturity (CDF=1) the IBNR term vanishes and BF collapses to exactly the actual/chain-ladder figure — check the AY2020/AY2021 rows above, where CDF=1.000 and the BF-CL difference is exactly 0.</t>
  </si>
  <si>
    <t xml:space="preserve">For the least mature year (highest CDF), chain-ladder leans hardest on the thinnest, noisiest actual data — that's exactly where BF's independent prior does the most work pulling the estimate away from a potentially unstable chain-ladder projection.</t>
  </si>
  <si>
    <t xml:space="preserve">Mack Method — Chain-Ladder Standard Error / Reserve Range</t>
  </si>
  <si>
    <t xml:space="preserve">Distribution-free: derives the reserve's standard error purely from how much each accident year's own development factor scattered around the volume-weighted average link factor -- no assumption about the underlying loss distribution, unlike a parametric bootstrap.</t>
  </si>
  <si>
    <t xml:space="preserve">Link Factor Variance (sigma_k^2)</t>
  </si>
  <si>
    <t xml:space="preserve">Dev period k</t>
  </si>
  <si>
    <t xml:space="preserve">Link factor f_k</t>
  </si>
  <si>
    <t xml:space="preserve">n (accident yrs)</t>
  </si>
  <si>
    <t xml:space="preserve">Column sum S_k</t>
  </si>
  <si>
    <t xml:space="preserve">sigma_k^2</t>
  </si>
  <si>
    <t xml:space="preserve">Dev 1 -&gt; Dev 2</t>
  </si>
  <si>
    <t xml:space="preserve">Dev 2 -&gt; Dev 3</t>
  </si>
  <si>
    <t xml:space="preserve">Dev 3 -&gt; Dev 4</t>
  </si>
  <si>
    <t xml:space="preserve">Dev 4 -&gt; Dev 5</t>
  </si>
  <si>
    <t xml:space="preserve">Dev 5 -&gt; Dev 6</t>
  </si>
  <si>
    <t xml:space="preserve">n=1 gives zero degrees of freedom -- Mack's own recommended workaround, not a full estimate</t>
  </si>
  <si>
    <t xml:space="preserve">Completed Triangle (chain-ladder-projected lower-right)</t>
  </si>
  <si>
    <t xml:space="preserve">Actual data (green) where observed; projected (black) beyond the latest diagonal -- this is what feeds each accident year's future-period terms in the Mack formula below.</t>
  </si>
  <si>
    <t xml:space="preserve">Per-Accident-Year Reserve Range</t>
  </si>
  <si>
    <t xml:space="preserve">Ultimate</t>
  </si>
  <si>
    <t xml:space="preserve">Reserve (IBNR)</t>
  </si>
  <si>
    <t xml:space="preserve">Mack MSE</t>
  </si>
  <si>
    <t xml:space="preserve">Mack SE</t>
  </si>
  <si>
    <t xml:space="preserve">CV (SE/Reserve)</t>
  </si>
  <si>
    <t xml:space="preserve">95% Lower</t>
  </si>
  <si>
    <t xml:space="preserve">95% Upper</t>
  </si>
  <si>
    <t xml:space="preserve">Total SE here is SQRT(sum of individual accident-year MSEs) -- it EXCLUDES the cross-accident-year covariance term Mack's full total-reserve formula includes (accident years share the same sigma_k^2 estimates, so their reserve errors are correlated, not independent). This therefore UNDERSTATES the true total reserve volatility -- a real reserve opinion needs the full covariance term, not this simplified sum-of-squares.</t>
  </si>
  <si>
    <t xml:space="preserve">Embedded Value (life/health simplified)</t>
  </si>
  <si>
    <t xml:space="preserve">Adjusted net asset value (ANAV, $)</t>
  </si>
  <si>
    <t xml:space="preserve">PV of future profits on in-force business ($)</t>
  </si>
  <si>
    <t xml:space="preserve">Cost of holding required capital ($)</t>
  </si>
  <si>
    <t xml:space="preserve">Risk margin / cost of non-hedgeable risk ($)</t>
  </si>
  <si>
    <t xml:space="preserve">Embedded Value = ANAV + PVFP - CoC - Risk margin</t>
  </si>
  <si>
    <t xml:space="preserve">Value of new business (VNB) this period</t>
  </si>
  <si>
    <t xml:space="preserve">Reserve Adequacy</t>
  </si>
  <si>
    <t xml:space="preserve">Inputs</t>
  </si>
  <si>
    <t xml:space="preserve">Case reserves (carried, $)</t>
  </si>
  <si>
    <t xml:space="preserve">Total policyholder surplus / equity ($)</t>
  </si>
  <si>
    <t xml:space="preserve">Outputs</t>
  </si>
  <si>
    <t xml:space="preserve">IBNR (from Loss Reserve Triangle)</t>
  </si>
  <si>
    <t xml:space="preserve">Total reserves (case + IBNR)</t>
  </si>
  <si>
    <t xml:space="preserve">IBNR as % of total reserves</t>
  </si>
  <si>
    <t xml:space="preserve">A rising share signals either faster growth or slower-than-assumed reporting/settlement — worth a reserve review either way</t>
  </si>
  <si>
    <t xml:space="preserve">Reserves-to-surplus ratio</t>
  </si>
  <si>
    <t xml:space="preserve">NAIC rule of thumb: &gt;3.0x is a leverage warning sign for a P&amp;C carrier</t>
  </si>
  <si>
    <t xml:space="preserve">Total Profitability (underwriting + investment)</t>
  </si>
  <si>
    <t xml:space="preserve">Net investment income ($)</t>
  </si>
  <si>
    <t xml:space="preserve">Average policyholder surplus / equity ($)</t>
  </si>
  <si>
    <t xml:space="preserve">Underwriting result (earned premium x (1 - combined ratio))</t>
  </si>
  <si>
    <t xml:space="preserve">Total profit (underwriting result + net investment income)</t>
  </si>
  <si>
    <t xml:space="preserve">Return on equity (ROE)</t>
  </si>
  <si>
    <t xml:space="preserve">Why combined ratio alone can mislead: a carrier can run &gt;100% combined and still be profitable if investment income (float x yield) covers the gap</t>
  </si>
  <si>
    <t xml:space="preserve">Sources</t>
  </si>
  <si>
    <t xml:space="preserve">What each material assumption or convention in this model comes from.</t>
  </si>
  <si>
    <t xml:space="preserve">Assumption / convention</t>
  </si>
  <si>
    <t xml:space="preserve">Source</t>
  </si>
  <si>
    <t xml:space="preserve">As of</t>
  </si>
  <si>
    <t xml:space="preserve">Note</t>
  </si>
  <si>
    <t xml:space="preserve">Volume-weighted chain-ladder link factors and CDF</t>
  </si>
  <si>
    <t xml:space="preserve">Standard actuarial loss-development methodology</t>
  </si>
  <si>
    <t xml:space="preserve">Standard practice</t>
  </si>
  <si>
    <t xml:space="preserve">Uses only accident years with data in both adjacent columns -- the denominator shrinks moving right through the triangle</t>
  </si>
  <si>
    <t xml:space="preserve">Bornhuetter-Ferguson blended reserving</t>
  </si>
  <si>
    <t xml:space="preserve">Bornhuetter &amp; Ferguson (1972)</t>
  </si>
  <si>
    <t xml:space="preserve">Peer-reviewed methodology</t>
  </si>
  <si>
    <t xml:space="preserve">Requires an independent a priori expected loss ratio (from pricing/plan), not derived from the same triangle</t>
  </si>
  <si>
    <t xml:space="preserve">Mack method standard error (distribution-free)</t>
  </si>
  <si>
    <t xml:space="preserve">Mack, T. (1993), "Distribution-Free Calculation of the Standard Error of Chain Ladder Reserve Estimates"</t>
  </si>
  <si>
    <t xml:space="preserve">Total reserve SE reported here excludes the cross-accident-year covariance term Mack's full total-reserve formula includes -- understates true total volatility, documented directly on the sheet</t>
  </si>
  <si>
    <t xml:space="preserve">Mack's last-link-factor variance extrapolation (sigma_{n-1}^2 = MIN(...))</t>
  </si>
  <si>
    <t xml:space="preserve">Same Mack (1993) paper's own recommended workaround for the zero-degrees-of-freedom edge case at the thinnest development period</t>
  </si>
  <si>
    <t xml:space="preserve">A necessary approximation, not a full estimate -- only 1 accident year contributes to the last link factor in a 6x6 triangle</t>
  </si>
  <si>
    <t xml:space="preserve">Checks</t>
  </si>
  <si>
    <t xml:space="preserve">Live reconciliation identities -- independent of the model's own formulas, must tie.</t>
  </si>
  <si>
    <t xml:space="preserve">Check</t>
  </si>
  <si>
    <t xml:space="preserve">Result</t>
  </si>
  <si>
    <t xml:space="preserve">Passes when</t>
  </si>
  <si>
    <t xml:space="preserve">BF and chain-ladder converge exactly at full maturity (CDF=1, AY2020 -- the only row guaranteed fully developed in a 6-period triangle)</t>
  </si>
  <si>
    <t xml:space="preserve">0 (exact) -- AY2020 has all 6 development periods, so CDF=1.000 exactly and the BF IBNR term vanishes, collapsing BF to the actual/chain-ladder figure</t>
  </si>
  <si>
    <t xml:space="preserve">Mack reserve for the fully-developed accident year (AY2020) is exactly zero</t>
  </si>
  <si>
    <t xml:space="preserve">0 (exact) -- a fully-developed year has no future development periods, hence no reserve and no Mack SE</t>
  </si>
  <si>
    <t xml:space="preserve">Completed triangle's actual (upper-left) cells tie exactly to the source triangle (AY2020 full row + AY2021 actual portion)</t>
  </si>
  <si>
    <t xml:space="preserve">0 (exact) -- confirms the green cross-sheet links, not stale hardcodes</t>
  </si>
  <si>
    <t xml:space="preserve">Mack SE is non-negative for every accident year</t>
  </si>
  <si>
    <t xml:space="preserve">TRUE -- a standard error can never be negative by construction (it's a square root)</t>
  </si>
  <si>
    <t xml:space="preserve">Refresh Log</t>
  </si>
  <si>
    <t xml:space="preserve">Date</t>
  </si>
  <si>
    <t xml:space="preserve">Trigger</t>
  </si>
  <si>
    <t xml:space="preserve">What changed</t>
  </si>
  <si>
    <t xml:space="preserve">Reviewer notes</t>
  </si>
  <si>
    <t xml:space="preserve">Next check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</si>
</sst>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$#,##0;&quot;($&quot;#,##0\);\-"/>
    <numFmt numFmtId="166" formatCode="0.0%;\(0.0%\);\-"/>
    <numFmt numFmtId="167" formatCode="0.000"/>
    <numFmt numFmtId="168" formatCode="#,##0;\(#,##0\);\-"/>
    <numFmt numFmtId="169" formatCode="#,##0"/>
    <numFmt numFmtId="170" formatCode="0.0\x"/>
    <numFmt numFmtId="171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8"/>
      <color rgb="FF80808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9D9D9"/>
        <bgColor rgb="FFBFBFB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40"/>
    <col collapsed="false" customWidth="true" hidden="false" outlineLevel="0" max="4" min="4" style="1" width="4"/>
  </cols>
  <sheetData>
    <row r="2" customFormat="false" ht="19.7" hidden="false" customHeight="false" outlineLevel="0" collapsed="false">
      <c r="B2" s="2" t="s">
        <v>0</v>
      </c>
    </row>
    <row r="4" customFormat="false" ht="15" hidden="false" customHeight="false" outlineLevel="0" collapsed="false">
      <c r="B4" s="3" t="s">
        <v>1</v>
      </c>
      <c r="C4" s="4" t="s">
        <v>2</v>
      </c>
    </row>
    <row r="5" customFormat="false" ht="15" hidden="false" customHeight="false" outlineLevel="0" collapsed="false">
      <c r="B5" s="3" t="s">
        <v>3</v>
      </c>
      <c r="C5" s="4" t="s">
        <v>4</v>
      </c>
    </row>
    <row r="6" customFormat="false" ht="15" hidden="false" customHeight="false" outlineLevel="0" collapsed="false">
      <c r="B6" s="3" t="s">
        <v>5</v>
      </c>
      <c r="C6" s="4" t="s">
        <v>6</v>
      </c>
    </row>
    <row r="7" customFormat="false" ht="15" hidden="false" customHeight="false" outlineLevel="0" collapsed="false">
      <c r="B7" s="3" t="s">
        <v>7</v>
      </c>
      <c r="C7" s="4" t="s">
        <v>6</v>
      </c>
    </row>
    <row r="8" customFormat="false" ht="15" hidden="false" customHeight="false" outlineLevel="0" collapsed="false">
      <c r="B8" s="3" t="s">
        <v>8</v>
      </c>
      <c r="C8" s="4" t="s">
        <v>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16"/>
    <col collapsed="false" customWidth="true" hidden="false" outlineLevel="0" max="4" min="4" style="1" width="40"/>
  </cols>
  <sheetData>
    <row r="2" customFormat="false" ht="19.7" hidden="false" customHeight="false" outlineLevel="0" collapsed="false">
      <c r="B2" s="2" t="s">
        <v>10</v>
      </c>
    </row>
    <row r="5" customFormat="false" ht="15" hidden="false" customHeight="false" outlineLevel="0" collapsed="false">
      <c r="B5" s="5" t="s">
        <v>11</v>
      </c>
      <c r="C5" s="6" t="n">
        <v>0</v>
      </c>
    </row>
    <row r="6" customFormat="false" ht="15" hidden="false" customHeight="false" outlineLevel="0" collapsed="false">
      <c r="B6" s="5" t="s">
        <v>12</v>
      </c>
      <c r="C6" s="6" t="n">
        <v>0</v>
      </c>
    </row>
    <row r="7" customFormat="false" ht="15" hidden="false" customHeight="false" outlineLevel="0" collapsed="false">
      <c r="B7" s="5" t="s">
        <v>13</v>
      </c>
      <c r="C7" s="6" t="n">
        <v>0</v>
      </c>
    </row>
    <row r="8" customFormat="false" ht="15" hidden="false" customHeight="false" outlineLevel="0" collapsed="false">
      <c r="B8" s="5" t="s">
        <v>14</v>
      </c>
      <c r="C8" s="6" t="n">
        <v>0</v>
      </c>
    </row>
    <row r="10" customFormat="false" ht="15" hidden="false" customHeight="false" outlineLevel="0" collapsed="false">
      <c r="B10" s="1" t="s">
        <v>15</v>
      </c>
      <c r="C10" s="7" t="str">
        <f aca="false">IFERROR((C6+C7)/C5,"-")</f>
        <v>-</v>
      </c>
    </row>
    <row r="11" customFormat="false" ht="15" hidden="false" customHeight="false" outlineLevel="0" collapsed="false">
      <c r="B11" s="1" t="s">
        <v>16</v>
      </c>
      <c r="C11" s="7" t="str">
        <f aca="false">IFERROR(C8/C5,"-")</f>
        <v>-</v>
      </c>
    </row>
    <row r="12" customFormat="false" ht="15" hidden="false" customHeight="false" outlineLevel="0" collapsed="false">
      <c r="B12" s="1" t="s">
        <v>17</v>
      </c>
      <c r="C12" s="8" t="str">
        <f aca="false">IFERROR(C10+C11,"-")</f>
        <v>-</v>
      </c>
      <c r="D12" s="9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6"/>
    <col collapsed="false" customWidth="true" hidden="false" outlineLevel="0" max="8" min="3" style="1" width="12"/>
    <col collapsed="false" customWidth="true" hidden="false" outlineLevel="0" max="10" min="9" style="1" width="14"/>
  </cols>
  <sheetData>
    <row r="2" customFormat="false" ht="19.7" hidden="false" customHeight="false" outlineLevel="0" collapsed="false">
      <c r="B2" s="2" t="s">
        <v>19</v>
      </c>
    </row>
    <row r="4" customFormat="false" ht="15" hidden="false" customHeight="false" outlineLevel="0" collapsed="false">
      <c r="B4" s="10" t="s">
        <v>20</v>
      </c>
      <c r="C4" s="10" t="s">
        <v>21</v>
      </c>
      <c r="D4" s="10" t="s">
        <v>22</v>
      </c>
      <c r="E4" s="10" t="s">
        <v>23</v>
      </c>
      <c r="F4" s="10" t="s">
        <v>24</v>
      </c>
      <c r="G4" s="10" t="s">
        <v>25</v>
      </c>
      <c r="H4" s="10" t="s">
        <v>26</v>
      </c>
      <c r="I4" s="11" t="s">
        <v>27</v>
      </c>
      <c r="J4" s="11" t="s">
        <v>28</v>
      </c>
    </row>
    <row r="5" customFormat="false" ht="15" hidden="false" customHeight="false" outlineLevel="0" collapsed="false">
      <c r="B5" s="10" t="s">
        <v>29</v>
      </c>
      <c r="C5" s="6" t="n">
        <v>0</v>
      </c>
      <c r="D5" s="6" t="n">
        <v>0</v>
      </c>
      <c r="E5" s="6" t="n">
        <v>0</v>
      </c>
      <c r="F5" s="6" t="n">
        <v>0</v>
      </c>
      <c r="G5" s="6" t="n">
        <v>0</v>
      </c>
      <c r="H5" s="6" t="n">
        <v>0</v>
      </c>
      <c r="I5" s="12" t="n">
        <f aca="false">IFERROR(H5*H15,"-")</f>
        <v>0</v>
      </c>
      <c r="J5" s="12" t="n">
        <f aca="false">IFERROR(I5-H5,"-")</f>
        <v>0</v>
      </c>
    </row>
    <row r="6" customFormat="false" ht="15" hidden="false" customHeight="false" outlineLevel="0" collapsed="false">
      <c r="B6" s="10" t="s">
        <v>30</v>
      </c>
      <c r="C6" s="6" t="n">
        <v>0</v>
      </c>
      <c r="D6" s="6" t="n">
        <v>0</v>
      </c>
      <c r="E6" s="6" t="n">
        <v>0</v>
      </c>
      <c r="F6" s="6" t="n">
        <v>0</v>
      </c>
      <c r="G6" s="6" t="n">
        <v>0</v>
      </c>
      <c r="I6" s="12" t="str">
        <f aca="false">IFERROR(G6*G15,"-")</f>
        <v>-</v>
      </c>
      <c r="J6" s="12" t="str">
        <f aca="false">IFERROR(I6-G6,"-")</f>
        <v>-</v>
      </c>
    </row>
    <row r="7" customFormat="false" ht="15" hidden="false" customHeight="false" outlineLevel="0" collapsed="false">
      <c r="B7" s="10" t="s">
        <v>31</v>
      </c>
      <c r="C7" s="6" t="n">
        <v>0</v>
      </c>
      <c r="D7" s="6" t="n">
        <v>0</v>
      </c>
      <c r="E7" s="6" t="n">
        <v>0</v>
      </c>
      <c r="F7" s="6" t="n">
        <v>0</v>
      </c>
      <c r="I7" s="12" t="str">
        <f aca="false">IFERROR(F7*F15,"-")</f>
        <v>-</v>
      </c>
      <c r="J7" s="12" t="str">
        <f aca="false">IFERROR(I7-F7,"-")</f>
        <v>-</v>
      </c>
    </row>
    <row r="8" customFormat="false" ht="15" hidden="false" customHeight="false" outlineLevel="0" collapsed="false">
      <c r="B8" s="10" t="s">
        <v>32</v>
      </c>
      <c r="C8" s="6" t="n">
        <v>0</v>
      </c>
      <c r="D8" s="6" t="n">
        <v>0</v>
      </c>
      <c r="E8" s="6" t="n">
        <v>0</v>
      </c>
      <c r="I8" s="12" t="str">
        <f aca="false">IFERROR(E8*E15,"-")</f>
        <v>-</v>
      </c>
      <c r="J8" s="12" t="str">
        <f aca="false">IFERROR(I8-E8,"-")</f>
        <v>-</v>
      </c>
    </row>
    <row r="9" customFormat="false" ht="15" hidden="false" customHeight="false" outlineLevel="0" collapsed="false">
      <c r="B9" s="10" t="s">
        <v>33</v>
      </c>
      <c r="C9" s="6" t="n">
        <v>0</v>
      </c>
      <c r="D9" s="6" t="n">
        <v>0</v>
      </c>
      <c r="I9" s="12" t="str">
        <f aca="false">IFERROR(D9*D15,"-")</f>
        <v>-</v>
      </c>
      <c r="J9" s="12" t="str">
        <f aca="false">IFERROR(I9-D9,"-")</f>
        <v>-</v>
      </c>
    </row>
    <row r="10" customFormat="false" ht="15" hidden="false" customHeight="false" outlineLevel="0" collapsed="false">
      <c r="B10" s="10" t="s">
        <v>34</v>
      </c>
      <c r="C10" s="6" t="n">
        <v>0</v>
      </c>
      <c r="I10" s="12" t="str">
        <f aca="false">IFERROR(C10*C15,"-")</f>
        <v>-</v>
      </c>
      <c r="J10" s="12" t="str">
        <f aca="false">IFERROR(I10-C10,"-")</f>
        <v>-</v>
      </c>
    </row>
    <row r="14" customFormat="false" ht="15" hidden="false" customHeight="false" outlineLevel="0" collapsed="false">
      <c r="B14" s="3" t="s">
        <v>35</v>
      </c>
      <c r="D14" s="13" t="str">
        <f aca="false">IFERROR(SUM(D5:D9)/SUM(C5:C9),"-")</f>
        <v>-</v>
      </c>
      <c r="E14" s="13" t="str">
        <f aca="false">IFERROR(SUM(E5:E8)/SUM(D5:D8),"-")</f>
        <v>-</v>
      </c>
      <c r="F14" s="13" t="str">
        <f aca="false">IFERROR(SUM(F5:F7)/SUM(E5:E7),"-")</f>
        <v>-</v>
      </c>
      <c r="G14" s="13" t="str">
        <f aca="false">IFERROR(SUM(G5:G6)/SUM(F5:F6),"-")</f>
        <v>-</v>
      </c>
      <c r="H14" s="13" t="str">
        <f aca="false">IFERROR(SUM(H5:H5)/SUM(G5:G5),"-")</f>
        <v>-</v>
      </c>
    </row>
    <row r="15" customFormat="false" ht="15" hidden="false" customHeight="false" outlineLevel="0" collapsed="false">
      <c r="B15" s="3" t="s">
        <v>36</v>
      </c>
      <c r="C15" s="13" t="str">
        <f aca="false">IFERROR(D14*D15,"-")</f>
        <v>-</v>
      </c>
      <c r="D15" s="13" t="str">
        <f aca="false">IFERROR(E14*E15,"-")</f>
        <v>-</v>
      </c>
      <c r="E15" s="13" t="str">
        <f aca="false">IFERROR(F14*F15,"-")</f>
        <v>-</v>
      </c>
      <c r="F15" s="13" t="str">
        <f aca="false">IFERROR(G14*G15,"-")</f>
        <v>-</v>
      </c>
      <c r="G15" s="13" t="str">
        <f aca="false">IFERROR(H14*H15,"-")</f>
        <v>-</v>
      </c>
      <c r="H15" s="13" t="n">
        <v>1</v>
      </c>
    </row>
    <row r="17" customFormat="false" ht="15" hidden="false" customHeight="false" outlineLevel="0" collapsed="false">
      <c r="B17" s="3" t="s">
        <v>37</v>
      </c>
      <c r="I17" s="14" t="n">
        <f aca="false">SUM(I5:I10)</f>
        <v>0</v>
      </c>
      <c r="J17" s="14" t="n">
        <f aca="false">SUM(J5:J10)</f>
        <v>0</v>
      </c>
    </row>
    <row r="18" customFormat="false" ht="15" hidden="false" customHeight="false" outlineLevel="0" collapsed="false">
      <c r="B18" s="9" t="s">
        <v>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K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6"/>
    <col collapsed="false" customWidth="true" hidden="false" outlineLevel="0" max="5" min="3" style="1" width="14"/>
    <col collapsed="false" customWidth="true" hidden="false" outlineLevel="0" max="7" min="6" style="1" width="12"/>
    <col collapsed="false" customWidth="true" hidden="false" outlineLevel="0" max="9" min="8" style="1" width="14"/>
    <col collapsed="false" customWidth="true" hidden="false" outlineLevel="0" max="10" min="10" style="1" width="16"/>
    <col collapsed="false" customWidth="true" hidden="false" outlineLevel="0" max="11" min="11" style="1" width="40"/>
  </cols>
  <sheetData>
    <row r="2" customFormat="false" ht="19.7" hidden="false" customHeight="false" outlineLevel="0" collapsed="false">
      <c r="B2" s="2" t="s">
        <v>39</v>
      </c>
    </row>
    <row r="4" customFormat="false" ht="15" hidden="false" customHeight="false" outlineLevel="0" collapsed="false">
      <c r="B4" s="1" t="s">
        <v>40</v>
      </c>
      <c r="C4" s="15" t="n">
        <v>0.6</v>
      </c>
      <c r="D4" s="9" t="s">
        <v>41</v>
      </c>
    </row>
    <row r="6" customFormat="false" ht="15" hidden="false" customHeight="false" outlineLevel="0" collapsed="false">
      <c r="B6" s="11" t="s">
        <v>42</v>
      </c>
      <c r="C6" s="11" t="s">
        <v>43</v>
      </c>
      <c r="D6" s="11" t="s">
        <v>44</v>
      </c>
      <c r="E6" s="11" t="s">
        <v>45</v>
      </c>
      <c r="F6" s="11" t="s">
        <v>46</v>
      </c>
      <c r="G6" s="11" t="s">
        <v>47</v>
      </c>
      <c r="H6" s="11" t="s">
        <v>48</v>
      </c>
      <c r="I6" s="11" t="s">
        <v>49</v>
      </c>
      <c r="J6" s="11" t="s">
        <v>50</v>
      </c>
      <c r="K6" s="16" t="s">
        <v>51</v>
      </c>
    </row>
    <row r="7" customFormat="false" ht="15" hidden="false" customHeight="false" outlineLevel="0" collapsed="false">
      <c r="B7" s="3" t="s">
        <v>29</v>
      </c>
      <c r="C7" s="6" t="n">
        <v>0</v>
      </c>
      <c r="D7" s="12" t="n">
        <f aca="false">C7*$C$4</f>
        <v>0</v>
      </c>
      <c r="E7" s="17" t="n">
        <f aca="false">'Loss Reserve Triangle'!H5</f>
        <v>0</v>
      </c>
      <c r="F7" s="18" t="n">
        <f aca="false">'Loss Reserve Triangle'!H15</f>
        <v>1</v>
      </c>
      <c r="G7" s="7" t="n">
        <f aca="false">IFERROR(1/F7,"-")</f>
        <v>1</v>
      </c>
      <c r="H7" s="12" t="n">
        <f aca="false">IFERROR(D7*(1-G7),"-")</f>
        <v>0</v>
      </c>
      <c r="I7" s="14" t="n">
        <f aca="false">IFERROR(E7+H7,"-")</f>
        <v>0</v>
      </c>
      <c r="J7" s="17" t="n">
        <f aca="false">'Loss Reserve Triangle'!I5</f>
        <v>0</v>
      </c>
      <c r="K7" s="12" t="n">
        <f aca="false">IFERROR(I7-J7,"-")</f>
        <v>0</v>
      </c>
    </row>
    <row r="8" customFormat="false" ht="15" hidden="false" customHeight="false" outlineLevel="0" collapsed="false">
      <c r="B8" s="3" t="s">
        <v>30</v>
      </c>
      <c r="C8" s="6" t="n">
        <v>0</v>
      </c>
      <c r="D8" s="12" t="n">
        <f aca="false">C8*$C$4</f>
        <v>0</v>
      </c>
      <c r="E8" s="17" t="n">
        <f aca="false">'Loss Reserve Triangle'!G6</f>
        <v>0</v>
      </c>
      <c r="F8" s="18" t="str">
        <f aca="false">'Loss Reserve Triangle'!G15</f>
        <v>-</v>
      </c>
      <c r="G8" s="7" t="str">
        <f aca="false">IFERROR(1/F8,"-")</f>
        <v>-</v>
      </c>
      <c r="H8" s="12" t="str">
        <f aca="false">IFERROR(D8*(1-G8),"-")</f>
        <v>-</v>
      </c>
      <c r="I8" s="14" t="str">
        <f aca="false">IFERROR(E8+H8,"-")</f>
        <v>-</v>
      </c>
      <c r="J8" s="17" t="str">
        <f aca="false">'Loss Reserve Triangle'!I6</f>
        <v>-</v>
      </c>
      <c r="K8" s="12" t="str">
        <f aca="false">IFERROR(I8-J8,"-")</f>
        <v>-</v>
      </c>
    </row>
    <row r="9" customFormat="false" ht="15" hidden="false" customHeight="false" outlineLevel="0" collapsed="false">
      <c r="B9" s="3" t="s">
        <v>31</v>
      </c>
      <c r="C9" s="6" t="n">
        <v>0</v>
      </c>
      <c r="D9" s="12" t="n">
        <f aca="false">C9*$C$4</f>
        <v>0</v>
      </c>
      <c r="E9" s="17" t="n">
        <f aca="false">'Loss Reserve Triangle'!F7</f>
        <v>0</v>
      </c>
      <c r="F9" s="18" t="str">
        <f aca="false">'Loss Reserve Triangle'!F15</f>
        <v>-</v>
      </c>
      <c r="G9" s="7" t="str">
        <f aca="false">IFERROR(1/F9,"-")</f>
        <v>-</v>
      </c>
      <c r="H9" s="12" t="str">
        <f aca="false">IFERROR(D9*(1-G9),"-")</f>
        <v>-</v>
      </c>
      <c r="I9" s="14" t="str">
        <f aca="false">IFERROR(E9+H9,"-")</f>
        <v>-</v>
      </c>
      <c r="J9" s="17" t="str">
        <f aca="false">'Loss Reserve Triangle'!I7</f>
        <v>-</v>
      </c>
      <c r="K9" s="12" t="str">
        <f aca="false">IFERROR(I9-J9,"-")</f>
        <v>-</v>
      </c>
    </row>
    <row r="10" customFormat="false" ht="15" hidden="false" customHeight="false" outlineLevel="0" collapsed="false">
      <c r="B10" s="3" t="s">
        <v>32</v>
      </c>
      <c r="C10" s="6" t="n">
        <v>0</v>
      </c>
      <c r="D10" s="12" t="n">
        <f aca="false">C10*$C$4</f>
        <v>0</v>
      </c>
      <c r="E10" s="17" t="n">
        <f aca="false">'Loss Reserve Triangle'!E8</f>
        <v>0</v>
      </c>
      <c r="F10" s="18" t="str">
        <f aca="false">'Loss Reserve Triangle'!E15</f>
        <v>-</v>
      </c>
      <c r="G10" s="7" t="str">
        <f aca="false">IFERROR(1/F10,"-")</f>
        <v>-</v>
      </c>
      <c r="H10" s="12" t="str">
        <f aca="false">IFERROR(D10*(1-G10),"-")</f>
        <v>-</v>
      </c>
      <c r="I10" s="14" t="str">
        <f aca="false">IFERROR(E10+H10,"-")</f>
        <v>-</v>
      </c>
      <c r="J10" s="17" t="str">
        <f aca="false">'Loss Reserve Triangle'!I8</f>
        <v>-</v>
      </c>
      <c r="K10" s="12" t="str">
        <f aca="false">IFERROR(I10-J10,"-")</f>
        <v>-</v>
      </c>
    </row>
    <row r="11" customFormat="false" ht="15" hidden="false" customHeight="false" outlineLevel="0" collapsed="false">
      <c r="B11" s="3" t="s">
        <v>33</v>
      </c>
      <c r="C11" s="6" t="n">
        <v>0</v>
      </c>
      <c r="D11" s="12" t="n">
        <f aca="false">C11*$C$4</f>
        <v>0</v>
      </c>
      <c r="E11" s="17" t="n">
        <f aca="false">'Loss Reserve Triangle'!D9</f>
        <v>0</v>
      </c>
      <c r="F11" s="18" t="str">
        <f aca="false">'Loss Reserve Triangle'!D15</f>
        <v>-</v>
      </c>
      <c r="G11" s="7" t="str">
        <f aca="false">IFERROR(1/F11,"-")</f>
        <v>-</v>
      </c>
      <c r="H11" s="12" t="str">
        <f aca="false">IFERROR(D11*(1-G11),"-")</f>
        <v>-</v>
      </c>
      <c r="I11" s="14" t="str">
        <f aca="false">IFERROR(E11+H11,"-")</f>
        <v>-</v>
      </c>
      <c r="J11" s="17" t="str">
        <f aca="false">'Loss Reserve Triangle'!I9</f>
        <v>-</v>
      </c>
      <c r="K11" s="12" t="str">
        <f aca="false">IFERROR(I11-J11,"-")</f>
        <v>-</v>
      </c>
    </row>
    <row r="12" customFormat="false" ht="15" hidden="false" customHeight="false" outlineLevel="0" collapsed="false">
      <c r="B12" s="3" t="s">
        <v>34</v>
      </c>
      <c r="C12" s="6" t="n">
        <v>0</v>
      </c>
      <c r="D12" s="12" t="n">
        <f aca="false">C12*$C$4</f>
        <v>0</v>
      </c>
      <c r="E12" s="17" t="n">
        <f aca="false">'Loss Reserve Triangle'!C10</f>
        <v>0</v>
      </c>
      <c r="F12" s="18" t="str">
        <f aca="false">'Loss Reserve Triangle'!C15</f>
        <v>-</v>
      </c>
      <c r="G12" s="7" t="str">
        <f aca="false">IFERROR(1/F12,"-")</f>
        <v>-</v>
      </c>
      <c r="H12" s="12" t="str">
        <f aca="false">IFERROR(D12*(1-G12),"-")</f>
        <v>-</v>
      </c>
      <c r="I12" s="14" t="str">
        <f aca="false">IFERROR(E12+H12,"-")</f>
        <v>-</v>
      </c>
      <c r="J12" s="17" t="str">
        <f aca="false">'Loss Reserve Triangle'!I10</f>
        <v>-</v>
      </c>
      <c r="K12" s="12" t="str">
        <f aca="false">IFERROR(I12-J12,"-")</f>
        <v>-</v>
      </c>
    </row>
    <row r="13" customFormat="false" ht="15" hidden="false" customHeight="false" outlineLevel="0" collapsed="false">
      <c r="B13" s="3" t="s">
        <v>52</v>
      </c>
      <c r="C13" s="14" t="n">
        <f aca="false">SUM(C7:C12)</f>
        <v>0</v>
      </c>
      <c r="D13" s="14" t="n">
        <f aca="false">SUM(D7:D12)</f>
        <v>0</v>
      </c>
      <c r="H13" s="14" t="n">
        <f aca="false">SUM(H7:H12)</f>
        <v>0</v>
      </c>
      <c r="I13" s="14" t="n">
        <f aca="false">SUM(I7:I12)</f>
        <v>0</v>
      </c>
      <c r="J13" s="14" t="n">
        <f aca="false">SUM(J7:J12)</f>
        <v>0</v>
      </c>
    </row>
    <row r="15" customFormat="false" ht="15" hidden="false" customHeight="false" outlineLevel="0" collapsed="false">
      <c r="B15" s="9" t="s">
        <v>53</v>
      </c>
    </row>
    <row r="16" customFormat="false" ht="15" hidden="false" customHeight="false" outlineLevel="0" collapsed="false">
      <c r="B16" s="9" t="s">
        <v>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6"/>
    <col collapsed="false" customWidth="true" hidden="false" outlineLevel="0" max="8" min="3" style="1" width="13"/>
    <col collapsed="false" customWidth="true" hidden="false" outlineLevel="0" max="9" min="9" style="1" width="46"/>
  </cols>
  <sheetData>
    <row r="2" customFormat="false" ht="19.7" hidden="false" customHeight="false" outlineLevel="0" collapsed="false">
      <c r="B2" s="2" t="s">
        <v>55</v>
      </c>
    </row>
    <row r="3" customFormat="false" ht="15" hidden="false" customHeight="false" outlineLevel="0" collapsed="false">
      <c r="B3" s="9" t="s">
        <v>56</v>
      </c>
    </row>
    <row r="5" customFormat="false" ht="15" hidden="false" customHeight="false" outlineLevel="0" collapsed="false">
      <c r="B5" s="10" t="s">
        <v>57</v>
      </c>
    </row>
    <row r="6" customFormat="false" ht="15" hidden="false" customHeight="false" outlineLevel="0" collapsed="false">
      <c r="B6" s="1" t="s">
        <v>58</v>
      </c>
      <c r="C6" s="11" t="s">
        <v>59</v>
      </c>
      <c r="D6" s="11" t="s">
        <v>60</v>
      </c>
      <c r="E6" s="11" t="s">
        <v>61</v>
      </c>
      <c r="F6" s="11" t="s">
        <v>62</v>
      </c>
    </row>
    <row r="7" customFormat="false" ht="15" hidden="false" customHeight="false" outlineLevel="0" collapsed="false">
      <c r="B7" s="5" t="s">
        <v>63</v>
      </c>
      <c r="C7" s="13" t="str">
        <f aca="false">'Loss Reserve Triangle'!$D$14</f>
        <v>-</v>
      </c>
      <c r="D7" s="19" t="n">
        <v>5</v>
      </c>
      <c r="E7" s="12" t="n">
        <f aca="false">SUM('Loss Reserve Triangle'!$C$5:$C$9)</f>
        <v>0</v>
      </c>
      <c r="F7" s="20" t="str">
        <f aca="false">IFERROR(SUMPRODUCT('Loss Reserve Triangle'!$C$5:$C$9,('Loss Reserve Triangle'!$D$5:$D$9/'Loss Reserve Triangle'!$C$5:$C$9-C7)^2)/(5-1),"-")</f>
        <v>-</v>
      </c>
    </row>
    <row r="8" customFormat="false" ht="15" hidden="false" customHeight="false" outlineLevel="0" collapsed="false">
      <c r="B8" s="5" t="s">
        <v>64</v>
      </c>
      <c r="C8" s="13" t="str">
        <f aca="false">'Loss Reserve Triangle'!$E$14</f>
        <v>-</v>
      </c>
      <c r="D8" s="19" t="n">
        <v>4</v>
      </c>
      <c r="E8" s="12" t="n">
        <f aca="false">SUM('Loss Reserve Triangle'!$D$5:$D$8)</f>
        <v>0</v>
      </c>
      <c r="F8" s="20" t="str">
        <f aca="false">IFERROR(SUMPRODUCT('Loss Reserve Triangle'!$D$5:$D$8,('Loss Reserve Triangle'!$E$5:$E$8/'Loss Reserve Triangle'!$D$5:$D$8-C8)^2)/(4-1),"-")</f>
        <v>-</v>
      </c>
    </row>
    <row r="9" customFormat="false" ht="15" hidden="false" customHeight="false" outlineLevel="0" collapsed="false">
      <c r="B9" s="5" t="s">
        <v>65</v>
      </c>
      <c r="C9" s="13" t="str">
        <f aca="false">'Loss Reserve Triangle'!$F$14</f>
        <v>-</v>
      </c>
      <c r="D9" s="19" t="n">
        <v>3</v>
      </c>
      <c r="E9" s="12" t="n">
        <f aca="false">SUM('Loss Reserve Triangle'!$E$5:$E$7)</f>
        <v>0</v>
      </c>
      <c r="F9" s="20" t="str">
        <f aca="false">IFERROR(SUMPRODUCT('Loss Reserve Triangle'!$E$5:$E$7,('Loss Reserve Triangle'!$F$5:$F$7/'Loss Reserve Triangle'!$E$5:$E$7-C9)^2)/(3-1),"-")</f>
        <v>-</v>
      </c>
    </row>
    <row r="10" customFormat="false" ht="15" hidden="false" customHeight="false" outlineLevel="0" collapsed="false">
      <c r="B10" s="5" t="s">
        <v>66</v>
      </c>
      <c r="C10" s="13" t="str">
        <f aca="false">'Loss Reserve Triangle'!$G$14</f>
        <v>-</v>
      </c>
      <c r="D10" s="19" t="n">
        <v>2</v>
      </c>
      <c r="E10" s="12" t="n">
        <f aca="false">SUM('Loss Reserve Triangle'!$F$5:$F$6)</f>
        <v>0</v>
      </c>
      <c r="F10" s="20" t="str">
        <f aca="false">IFERROR(SUMPRODUCT('Loss Reserve Triangle'!$F$5:$F$6,('Loss Reserve Triangle'!$G$5:$G$6/'Loss Reserve Triangle'!$F$5:$F$6-C10)^2)/(2-1),"-")</f>
        <v>-</v>
      </c>
    </row>
    <row r="11" customFormat="false" ht="15" hidden="false" customHeight="false" outlineLevel="0" collapsed="false">
      <c r="B11" s="5" t="s">
        <v>67</v>
      </c>
      <c r="C11" s="13" t="str">
        <f aca="false">'Loss Reserve Triangle'!$H$14</f>
        <v>-</v>
      </c>
      <c r="D11" s="19" t="n">
        <v>1</v>
      </c>
      <c r="E11" s="12" t="n">
        <f aca="false">SUM('Loss Reserve Triangle'!$G$5:$G$5)</f>
        <v>0</v>
      </c>
      <c r="F11" s="20" t="str">
        <f aca="false">IFERROR(IF(OR(NOT(ISNUMBER(F10)),NOT(ISNUMBER(F9))),"-",MIN(F10,F9,F10^2/F9)),"-")</f>
        <v>-</v>
      </c>
      <c r="H11" s="9" t="s">
        <v>68</v>
      </c>
    </row>
    <row r="13" customFormat="false" ht="15" hidden="false" customHeight="false" outlineLevel="0" collapsed="false">
      <c r="B13" s="10" t="s">
        <v>69</v>
      </c>
    </row>
    <row r="14" customFormat="false" ht="15" hidden="false" customHeight="false" outlineLevel="0" collapsed="false">
      <c r="B14" s="9" t="s">
        <v>70</v>
      </c>
    </row>
    <row r="15" customFormat="false" ht="15" hidden="false" customHeight="false" outlineLevel="0" collapsed="false">
      <c r="C15" s="10" t="s">
        <v>21</v>
      </c>
      <c r="D15" s="10" t="s">
        <v>22</v>
      </c>
      <c r="E15" s="10" t="s">
        <v>23</v>
      </c>
      <c r="F15" s="10" t="s">
        <v>24</v>
      </c>
      <c r="G15" s="10" t="s">
        <v>25</v>
      </c>
      <c r="H15" s="10" t="s">
        <v>26</v>
      </c>
    </row>
    <row r="16" customFormat="false" ht="15" hidden="false" customHeight="false" outlineLevel="0" collapsed="false">
      <c r="B16" s="3" t="s">
        <v>29</v>
      </c>
      <c r="C16" s="17" t="n">
        <f aca="false">'Loss Reserve Triangle'!C5</f>
        <v>0</v>
      </c>
      <c r="D16" s="17" t="n">
        <f aca="false">'Loss Reserve Triangle'!D5</f>
        <v>0</v>
      </c>
      <c r="E16" s="17" t="n">
        <f aca="false">'Loss Reserve Triangle'!E5</f>
        <v>0</v>
      </c>
      <c r="F16" s="17" t="n">
        <f aca="false">'Loss Reserve Triangle'!F5</f>
        <v>0</v>
      </c>
      <c r="G16" s="17" t="n">
        <f aca="false">'Loss Reserve Triangle'!G5</f>
        <v>0</v>
      </c>
      <c r="H16" s="17" t="n">
        <f aca="false">'Loss Reserve Triangle'!H5</f>
        <v>0</v>
      </c>
    </row>
    <row r="17" customFormat="false" ht="15" hidden="false" customHeight="false" outlineLevel="0" collapsed="false">
      <c r="B17" s="3" t="s">
        <v>30</v>
      </c>
      <c r="C17" s="17" t="n">
        <f aca="false">'Loss Reserve Triangle'!C6</f>
        <v>0</v>
      </c>
      <c r="D17" s="17" t="n">
        <f aca="false">'Loss Reserve Triangle'!D6</f>
        <v>0</v>
      </c>
      <c r="E17" s="17" t="n">
        <f aca="false">'Loss Reserve Triangle'!E6</f>
        <v>0</v>
      </c>
      <c r="F17" s="17" t="n">
        <f aca="false">'Loss Reserve Triangle'!F6</f>
        <v>0</v>
      </c>
      <c r="G17" s="17" t="n">
        <f aca="false">'Loss Reserve Triangle'!G6</f>
        <v>0</v>
      </c>
      <c r="H17" s="12" t="str">
        <f aca="false">IFERROR(IF(OR(NOT(ISNUMBER(G17)),NOT(ISNUMBER('Loss Reserve Triangle'!H$14))),"-",G17*'Loss Reserve Triangle'!H$14),"-")</f>
        <v>-</v>
      </c>
    </row>
    <row r="18" customFormat="false" ht="15" hidden="false" customHeight="false" outlineLevel="0" collapsed="false">
      <c r="B18" s="3" t="s">
        <v>31</v>
      </c>
      <c r="C18" s="17" t="n">
        <f aca="false">'Loss Reserve Triangle'!C7</f>
        <v>0</v>
      </c>
      <c r="D18" s="17" t="n">
        <f aca="false">'Loss Reserve Triangle'!D7</f>
        <v>0</v>
      </c>
      <c r="E18" s="17" t="n">
        <f aca="false">'Loss Reserve Triangle'!E7</f>
        <v>0</v>
      </c>
      <c r="F18" s="17" t="n">
        <f aca="false">'Loss Reserve Triangle'!F7</f>
        <v>0</v>
      </c>
      <c r="G18" s="12" t="str">
        <f aca="false">IFERROR(IF(OR(NOT(ISNUMBER(F18)),NOT(ISNUMBER('Loss Reserve Triangle'!G$14))),"-",F18*'Loss Reserve Triangle'!G$14),"-")</f>
        <v>-</v>
      </c>
      <c r="H18" s="12" t="str">
        <f aca="false">IFERROR(IF(OR(NOT(ISNUMBER(G18)),NOT(ISNUMBER('Loss Reserve Triangle'!H$14))),"-",G18*'Loss Reserve Triangle'!H$14),"-")</f>
        <v>-</v>
      </c>
    </row>
    <row r="19" customFormat="false" ht="15" hidden="false" customHeight="false" outlineLevel="0" collapsed="false">
      <c r="B19" s="3" t="s">
        <v>32</v>
      </c>
      <c r="C19" s="17" t="n">
        <f aca="false">'Loss Reserve Triangle'!C8</f>
        <v>0</v>
      </c>
      <c r="D19" s="17" t="n">
        <f aca="false">'Loss Reserve Triangle'!D8</f>
        <v>0</v>
      </c>
      <c r="E19" s="17" t="n">
        <f aca="false">'Loss Reserve Triangle'!E8</f>
        <v>0</v>
      </c>
      <c r="F19" s="12" t="str">
        <f aca="false">IFERROR(IF(OR(NOT(ISNUMBER(E19)),NOT(ISNUMBER('Loss Reserve Triangle'!F$14))),"-",E19*'Loss Reserve Triangle'!F$14),"-")</f>
        <v>-</v>
      </c>
      <c r="G19" s="12" t="str">
        <f aca="false">IFERROR(IF(OR(NOT(ISNUMBER(F19)),NOT(ISNUMBER('Loss Reserve Triangle'!G$14))),"-",F19*'Loss Reserve Triangle'!G$14),"-")</f>
        <v>-</v>
      </c>
      <c r="H19" s="12" t="str">
        <f aca="false">IFERROR(IF(OR(NOT(ISNUMBER(G19)),NOT(ISNUMBER('Loss Reserve Triangle'!H$14))),"-",G19*'Loss Reserve Triangle'!H$14),"-")</f>
        <v>-</v>
      </c>
    </row>
    <row r="20" customFormat="false" ht="15" hidden="false" customHeight="false" outlineLevel="0" collapsed="false">
      <c r="B20" s="3" t="s">
        <v>33</v>
      </c>
      <c r="C20" s="17" t="n">
        <f aca="false">'Loss Reserve Triangle'!C9</f>
        <v>0</v>
      </c>
      <c r="D20" s="17" t="n">
        <f aca="false">'Loss Reserve Triangle'!D9</f>
        <v>0</v>
      </c>
      <c r="E20" s="12" t="str">
        <f aca="false">IFERROR(IF(OR(NOT(ISNUMBER(D20)),NOT(ISNUMBER('Loss Reserve Triangle'!E$14))),"-",D20*'Loss Reserve Triangle'!E$14),"-")</f>
        <v>-</v>
      </c>
      <c r="F20" s="12" t="str">
        <f aca="false">IFERROR(IF(OR(NOT(ISNUMBER(E20)),NOT(ISNUMBER('Loss Reserve Triangle'!F$14))),"-",E20*'Loss Reserve Triangle'!F$14),"-")</f>
        <v>-</v>
      </c>
      <c r="G20" s="12" t="str">
        <f aca="false">IFERROR(IF(OR(NOT(ISNUMBER(F20)),NOT(ISNUMBER('Loss Reserve Triangle'!G$14))),"-",F20*'Loss Reserve Triangle'!G$14),"-")</f>
        <v>-</v>
      </c>
      <c r="H20" s="12" t="str">
        <f aca="false">IFERROR(IF(OR(NOT(ISNUMBER(G20)),NOT(ISNUMBER('Loss Reserve Triangle'!H$14))),"-",G20*'Loss Reserve Triangle'!H$14),"-")</f>
        <v>-</v>
      </c>
    </row>
    <row r="21" customFormat="false" ht="15" hidden="false" customHeight="false" outlineLevel="0" collapsed="false">
      <c r="B21" s="3" t="s">
        <v>34</v>
      </c>
      <c r="C21" s="17" t="n">
        <f aca="false">'Loss Reserve Triangle'!C10</f>
        <v>0</v>
      </c>
      <c r="D21" s="12" t="str">
        <f aca="false">IFERROR(IF(OR(NOT(ISNUMBER(C21)),NOT(ISNUMBER('Loss Reserve Triangle'!D$14))),"-",C21*'Loss Reserve Triangle'!D$14),"-")</f>
        <v>-</v>
      </c>
      <c r="E21" s="12" t="str">
        <f aca="false">IFERROR(IF(OR(NOT(ISNUMBER(D21)),NOT(ISNUMBER('Loss Reserve Triangle'!E$14))),"-",D21*'Loss Reserve Triangle'!E$14),"-")</f>
        <v>-</v>
      </c>
      <c r="F21" s="12" t="str">
        <f aca="false">IFERROR(IF(OR(NOT(ISNUMBER(E21)),NOT(ISNUMBER('Loss Reserve Triangle'!F$14))),"-",E21*'Loss Reserve Triangle'!F$14),"-")</f>
        <v>-</v>
      </c>
      <c r="G21" s="12" t="str">
        <f aca="false">IFERROR(IF(OR(NOT(ISNUMBER(F21)),NOT(ISNUMBER('Loss Reserve Triangle'!G$14))),"-",F21*'Loss Reserve Triangle'!G$14),"-")</f>
        <v>-</v>
      </c>
      <c r="H21" s="12" t="str">
        <f aca="false">IFERROR(IF(OR(NOT(ISNUMBER(G21)),NOT(ISNUMBER('Loss Reserve Triangle'!H$14))),"-",G21*'Loss Reserve Triangle'!H$14),"-")</f>
        <v>-</v>
      </c>
    </row>
    <row r="23" customFormat="false" ht="15" hidden="false" customHeight="false" outlineLevel="0" collapsed="false">
      <c r="B23" s="10" t="s">
        <v>71</v>
      </c>
    </row>
    <row r="24" customFormat="false" ht="15" hidden="false" customHeight="false" outlineLevel="0" collapsed="false">
      <c r="B24" s="11" t="s">
        <v>42</v>
      </c>
      <c r="C24" s="11" t="s">
        <v>72</v>
      </c>
      <c r="D24" s="11" t="s">
        <v>73</v>
      </c>
      <c r="E24" s="11" t="s">
        <v>74</v>
      </c>
      <c r="F24" s="11" t="s">
        <v>75</v>
      </c>
      <c r="G24" s="11" t="s">
        <v>76</v>
      </c>
      <c r="H24" s="11" t="s">
        <v>77</v>
      </c>
      <c r="I24" s="16" t="s">
        <v>78</v>
      </c>
    </row>
    <row r="25" customFormat="false" ht="15" hidden="false" customHeight="false" outlineLevel="0" collapsed="false">
      <c r="B25" s="3" t="s">
        <v>29</v>
      </c>
      <c r="C25" s="17" t="n">
        <f aca="false">'Loss Reserve Triangle'!I5</f>
        <v>0</v>
      </c>
      <c r="D25" s="17" t="n">
        <f aca="false">'Loss Reserve Triangle'!J5</f>
        <v>0</v>
      </c>
      <c r="E25" s="20" t="n">
        <f aca="false">0</f>
        <v>0</v>
      </c>
      <c r="F25" s="14" t="n">
        <f aca="false">IFERROR(IF(ISNUMBER(E25),SQRT(E25),"-"),"-")</f>
        <v>0</v>
      </c>
      <c r="G25" s="7" t="str">
        <f aca="false">IF(OR(NOT(ISNUMBER(D25)),NOT(ISNUMBER(F25)),D25=0),"-",F25/D25)</f>
        <v>-</v>
      </c>
      <c r="H25" s="12" t="n">
        <f aca="false">IFERROR(D25-1.96*F25,"-")</f>
        <v>0</v>
      </c>
      <c r="I25" s="12" t="n">
        <f aca="false">IFERROR(D25+1.96*F25,"-")</f>
        <v>0</v>
      </c>
    </row>
    <row r="26" customFormat="false" ht="15" hidden="false" customHeight="false" outlineLevel="0" collapsed="false">
      <c r="B26" s="3" t="s">
        <v>30</v>
      </c>
      <c r="C26" s="17" t="str">
        <f aca="false">'Loss Reserve Triangle'!I6</f>
        <v>-</v>
      </c>
      <c r="D26" s="17" t="str">
        <f aca="false">'Loss Reserve Triangle'!J6</f>
        <v>-</v>
      </c>
      <c r="E26" s="20" t="str">
        <f aca="false">IFERROR(('Loss Reserve Triangle'!I6)^2*(($F$11/$C$11^2)*(1/G17+1/$E$11)),"-")</f>
        <v>-</v>
      </c>
      <c r="F26" s="14" t="str">
        <f aca="false">IFERROR(IF(ISNUMBER(E26),SQRT(E26),"-"),"-")</f>
        <v>-</v>
      </c>
      <c r="G26" s="7" t="str">
        <f aca="false">IF(OR(NOT(ISNUMBER(D26)),NOT(ISNUMBER(F26)),D26=0),"-",F26/D26)</f>
        <v>-</v>
      </c>
      <c r="H26" s="12" t="str">
        <f aca="false">IFERROR(D26-1.96*F26,"-")</f>
        <v>-</v>
      </c>
      <c r="I26" s="12" t="str">
        <f aca="false">IFERROR(D26+1.96*F26,"-")</f>
        <v>-</v>
      </c>
    </row>
    <row r="27" customFormat="false" ht="15" hidden="false" customHeight="false" outlineLevel="0" collapsed="false">
      <c r="B27" s="3" t="s">
        <v>31</v>
      </c>
      <c r="C27" s="17" t="str">
        <f aca="false">'Loss Reserve Triangle'!I7</f>
        <v>-</v>
      </c>
      <c r="D27" s="17" t="str">
        <f aca="false">'Loss Reserve Triangle'!J7</f>
        <v>-</v>
      </c>
      <c r="E27" s="20" t="str">
        <f aca="false">IFERROR(('Loss Reserve Triangle'!I7)^2*(($F$10/$C$10^2)*(1/F18+1/$E$10)+($F$11/$C$11^2)*(1/G18+1/$E$11)),"-")</f>
        <v>-</v>
      </c>
      <c r="F27" s="14" t="str">
        <f aca="false">IFERROR(IF(ISNUMBER(E27),SQRT(E27),"-"),"-")</f>
        <v>-</v>
      </c>
      <c r="G27" s="7" t="str">
        <f aca="false">IF(OR(NOT(ISNUMBER(D27)),NOT(ISNUMBER(F27)),D27=0),"-",F27/D27)</f>
        <v>-</v>
      </c>
      <c r="H27" s="12" t="str">
        <f aca="false">IFERROR(D27-1.96*F27,"-")</f>
        <v>-</v>
      </c>
      <c r="I27" s="12" t="str">
        <f aca="false">IFERROR(D27+1.96*F27,"-")</f>
        <v>-</v>
      </c>
    </row>
    <row r="28" customFormat="false" ht="15" hidden="false" customHeight="false" outlineLevel="0" collapsed="false">
      <c r="B28" s="3" t="s">
        <v>32</v>
      </c>
      <c r="C28" s="17" t="str">
        <f aca="false">'Loss Reserve Triangle'!I8</f>
        <v>-</v>
      </c>
      <c r="D28" s="17" t="str">
        <f aca="false">'Loss Reserve Triangle'!J8</f>
        <v>-</v>
      </c>
      <c r="E28" s="20" t="str">
        <f aca="false">IFERROR(('Loss Reserve Triangle'!I8)^2*(($F$9/$C$9^2)*(1/E19+1/$E$9)+($F$10/$C$10^2)*(1/F19+1/$E$10)+($F$11/$C$11^2)*(1/G19+1/$E$11)),"-")</f>
        <v>-</v>
      </c>
      <c r="F28" s="14" t="str">
        <f aca="false">IFERROR(IF(ISNUMBER(E28),SQRT(E28),"-"),"-")</f>
        <v>-</v>
      </c>
      <c r="G28" s="7" t="str">
        <f aca="false">IF(OR(NOT(ISNUMBER(D28)),NOT(ISNUMBER(F28)),D28=0),"-",F28/D28)</f>
        <v>-</v>
      </c>
      <c r="H28" s="12" t="str">
        <f aca="false">IFERROR(D28-1.96*F28,"-")</f>
        <v>-</v>
      </c>
      <c r="I28" s="12" t="str">
        <f aca="false">IFERROR(D28+1.96*F28,"-")</f>
        <v>-</v>
      </c>
    </row>
    <row r="29" customFormat="false" ht="15" hidden="false" customHeight="false" outlineLevel="0" collapsed="false">
      <c r="B29" s="3" t="s">
        <v>33</v>
      </c>
      <c r="C29" s="17" t="str">
        <f aca="false">'Loss Reserve Triangle'!I9</f>
        <v>-</v>
      </c>
      <c r="D29" s="17" t="str">
        <f aca="false">'Loss Reserve Triangle'!J9</f>
        <v>-</v>
      </c>
      <c r="E29" s="20" t="str">
        <f aca="false">IFERROR(('Loss Reserve Triangle'!I9)^2*(($F$8/$C$8^2)*(1/D20+1/$E$8)+($F$9/$C$9^2)*(1/E20+1/$E$9)+($F$10/$C$10^2)*(1/F20+1/$E$10)+($F$11/$C$11^2)*(1/G20+1/$E$11)),"-")</f>
        <v>-</v>
      </c>
      <c r="F29" s="14" t="str">
        <f aca="false">IFERROR(IF(ISNUMBER(E29),SQRT(E29),"-"),"-")</f>
        <v>-</v>
      </c>
      <c r="G29" s="7" t="str">
        <f aca="false">IF(OR(NOT(ISNUMBER(D29)),NOT(ISNUMBER(F29)),D29=0),"-",F29/D29)</f>
        <v>-</v>
      </c>
      <c r="H29" s="12" t="str">
        <f aca="false">IFERROR(D29-1.96*F29,"-")</f>
        <v>-</v>
      </c>
      <c r="I29" s="12" t="str">
        <f aca="false">IFERROR(D29+1.96*F29,"-")</f>
        <v>-</v>
      </c>
    </row>
    <row r="30" customFormat="false" ht="15" hidden="false" customHeight="false" outlineLevel="0" collapsed="false">
      <c r="B30" s="3" t="s">
        <v>34</v>
      </c>
      <c r="C30" s="17" t="str">
        <f aca="false">'Loss Reserve Triangle'!I10</f>
        <v>-</v>
      </c>
      <c r="D30" s="17" t="str">
        <f aca="false">'Loss Reserve Triangle'!J10</f>
        <v>-</v>
      </c>
      <c r="E30" s="20" t="str">
        <f aca="false">IFERROR(('Loss Reserve Triangle'!I10)^2*(($F$7/$C$7^2)*(1/C21+1/$E$7)+($F$8/$C$8^2)*(1/D21+1/$E$8)+($F$9/$C$9^2)*(1/E21+1/$E$9)+($F$10/$C$10^2)*(1/F21+1/$E$10)+($F$11/$C$11^2)*(1/G21+1/$E$11)),"-")</f>
        <v>-</v>
      </c>
      <c r="F30" s="14" t="str">
        <f aca="false">IFERROR(IF(ISNUMBER(E30),SQRT(E30),"-"),"-")</f>
        <v>-</v>
      </c>
      <c r="G30" s="7" t="str">
        <f aca="false">IF(OR(NOT(ISNUMBER(D30)),NOT(ISNUMBER(F30)),D30=0),"-",F30/D30)</f>
        <v>-</v>
      </c>
      <c r="H30" s="12" t="str">
        <f aca="false">IFERROR(D30-1.96*F30,"-")</f>
        <v>-</v>
      </c>
      <c r="I30" s="12" t="str">
        <f aca="false">IFERROR(D30+1.96*F30,"-")</f>
        <v>-</v>
      </c>
    </row>
    <row r="31" customFormat="false" ht="15" hidden="false" customHeight="false" outlineLevel="0" collapsed="false">
      <c r="B31" s="3" t="s">
        <v>52</v>
      </c>
      <c r="D31" s="14" t="n">
        <f aca="false">IFERROR(SUM(D25:D30),"-")</f>
        <v>0</v>
      </c>
      <c r="F31" s="14" t="n">
        <f aca="false">IFERROR(SQRT(SUM(E25:E30)),"-")</f>
        <v>0</v>
      </c>
    </row>
    <row r="33" customFormat="false" ht="15" hidden="false" customHeight="false" outlineLevel="0" collapsed="false">
      <c r="B33" s="9" t="s">
        <v>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2"/>
    <col collapsed="false" customWidth="true" hidden="false" outlineLevel="0" max="3" min="3" style="1" width="16"/>
    <col collapsed="false" customWidth="true" hidden="false" outlineLevel="0" max="4" min="4" style="1" width="40"/>
  </cols>
  <sheetData>
    <row r="2" customFormat="false" ht="19.7" hidden="false" customHeight="false" outlineLevel="0" collapsed="false">
      <c r="B2" s="2" t="s">
        <v>80</v>
      </c>
    </row>
    <row r="5" customFormat="false" ht="15" hidden="false" customHeight="false" outlineLevel="0" collapsed="false">
      <c r="B5" s="5" t="s">
        <v>81</v>
      </c>
      <c r="C5" s="6" t="n">
        <v>0</v>
      </c>
    </row>
    <row r="6" customFormat="false" ht="15" hidden="false" customHeight="false" outlineLevel="0" collapsed="false">
      <c r="B6" s="5" t="s">
        <v>82</v>
      </c>
      <c r="C6" s="6" t="n">
        <v>0</v>
      </c>
    </row>
    <row r="7" customFormat="false" ht="15" hidden="false" customHeight="false" outlineLevel="0" collapsed="false">
      <c r="B7" s="5" t="s">
        <v>83</v>
      </c>
      <c r="C7" s="6" t="n">
        <v>0</v>
      </c>
    </row>
    <row r="8" customFormat="false" ht="15" hidden="false" customHeight="false" outlineLevel="0" collapsed="false">
      <c r="B8" s="5" t="s">
        <v>84</v>
      </c>
      <c r="C8" s="6" t="n">
        <v>0</v>
      </c>
    </row>
    <row r="10" customFormat="false" ht="15" hidden="false" customHeight="false" outlineLevel="0" collapsed="false">
      <c r="B10" s="1" t="s">
        <v>85</v>
      </c>
      <c r="C10" s="14" t="n">
        <f aca="false">C5+C6-C7-C8</f>
        <v>0</v>
      </c>
    </row>
    <row r="12" customFormat="false" ht="15" hidden="false" customHeight="false" outlineLevel="0" collapsed="false">
      <c r="B12" s="1" t="s">
        <v>86</v>
      </c>
      <c r="C12" s="6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16"/>
    <col collapsed="false" customWidth="true" hidden="false" outlineLevel="0" max="4" min="4" style="1" width="40"/>
  </cols>
  <sheetData>
    <row r="2" customFormat="false" ht="19.7" hidden="false" customHeight="false" outlineLevel="0" collapsed="false">
      <c r="B2" s="2" t="s">
        <v>87</v>
      </c>
    </row>
    <row r="4" customFormat="false" ht="15" hidden="false" customHeight="false" outlineLevel="0" collapsed="false">
      <c r="B4" s="10" t="s">
        <v>88</v>
      </c>
    </row>
    <row r="5" customFormat="false" ht="15" hidden="false" customHeight="false" outlineLevel="0" collapsed="false">
      <c r="B5" s="5" t="s">
        <v>89</v>
      </c>
      <c r="C5" s="6" t="n">
        <v>0</v>
      </c>
    </row>
    <row r="6" customFormat="false" ht="15" hidden="false" customHeight="false" outlineLevel="0" collapsed="false">
      <c r="B6" s="5" t="s">
        <v>90</v>
      </c>
      <c r="C6" s="6" t="n">
        <v>0</v>
      </c>
    </row>
    <row r="9" customFormat="false" ht="15" hidden="false" customHeight="false" outlineLevel="0" collapsed="false">
      <c r="B9" s="10" t="s">
        <v>91</v>
      </c>
    </row>
    <row r="10" customFormat="false" ht="15" hidden="false" customHeight="false" outlineLevel="0" collapsed="false">
      <c r="B10" s="1" t="s">
        <v>92</v>
      </c>
      <c r="C10" s="17" t="n">
        <f aca="false">'Loss Reserve Triangle'!J17</f>
        <v>0</v>
      </c>
    </row>
    <row r="11" customFormat="false" ht="15" hidden="false" customHeight="false" outlineLevel="0" collapsed="false">
      <c r="B11" s="1" t="s">
        <v>93</v>
      </c>
      <c r="C11" s="14" t="n">
        <f aca="false">IFERROR(C5+C10,"-")</f>
        <v>0</v>
      </c>
    </row>
    <row r="12" customFormat="false" ht="15" hidden="false" customHeight="false" outlineLevel="0" collapsed="false">
      <c r="B12" s="1" t="s">
        <v>94</v>
      </c>
      <c r="C12" s="7" t="str">
        <f aca="false">IFERROR(C10/C11,"-")</f>
        <v>-</v>
      </c>
      <c r="D12" s="9" t="s">
        <v>95</v>
      </c>
    </row>
    <row r="13" customFormat="false" ht="15" hidden="false" customHeight="false" outlineLevel="0" collapsed="false">
      <c r="B13" s="1" t="s">
        <v>96</v>
      </c>
      <c r="C13" s="21" t="str">
        <f aca="false">IFERROR(C11/C6,"-")</f>
        <v>-</v>
      </c>
      <c r="D13" s="9" t="s">
        <v>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2"/>
    <col collapsed="false" customWidth="true" hidden="false" outlineLevel="0" max="3" min="3" style="1" width="16"/>
    <col collapsed="false" customWidth="true" hidden="false" outlineLevel="0" max="4" min="4" style="1" width="40"/>
  </cols>
  <sheetData>
    <row r="2" customFormat="false" ht="19.7" hidden="false" customHeight="false" outlineLevel="0" collapsed="false">
      <c r="B2" s="2" t="s">
        <v>98</v>
      </c>
    </row>
    <row r="4" customFormat="false" ht="15" hidden="false" customHeight="false" outlineLevel="0" collapsed="false">
      <c r="B4" s="10" t="s">
        <v>88</v>
      </c>
    </row>
    <row r="5" customFormat="false" ht="15" hidden="false" customHeight="false" outlineLevel="0" collapsed="false">
      <c r="B5" s="5" t="s">
        <v>99</v>
      </c>
      <c r="C5" s="6" t="n">
        <v>0</v>
      </c>
    </row>
    <row r="6" customFormat="false" ht="15" hidden="false" customHeight="false" outlineLevel="0" collapsed="false">
      <c r="B6" s="5" t="s">
        <v>100</v>
      </c>
      <c r="C6" s="6" t="n">
        <v>0</v>
      </c>
    </row>
    <row r="9" customFormat="false" ht="15" hidden="false" customHeight="false" outlineLevel="0" collapsed="false">
      <c r="B9" s="10" t="s">
        <v>91</v>
      </c>
    </row>
    <row r="10" customFormat="false" ht="15" hidden="false" customHeight="false" outlineLevel="0" collapsed="false">
      <c r="B10" s="1" t="s">
        <v>101</v>
      </c>
      <c r="C10" s="17" t="str">
        <f aca="false">IFERROR('Underwriting Ratios'!C5*(1-'Underwriting Ratios'!C12),"-")</f>
        <v>-</v>
      </c>
    </row>
    <row r="11" customFormat="false" ht="15" hidden="false" customHeight="false" outlineLevel="0" collapsed="false">
      <c r="B11" s="1" t="s">
        <v>102</v>
      </c>
      <c r="C11" s="14" t="str">
        <f aca="false">IFERROR(C10+C5,"-")</f>
        <v>-</v>
      </c>
    </row>
    <row r="12" customFormat="false" ht="15" hidden="false" customHeight="false" outlineLevel="0" collapsed="false">
      <c r="B12" s="1" t="s">
        <v>103</v>
      </c>
      <c r="C12" s="8" t="str">
        <f aca="false">IFERROR(C11/C6,"-")</f>
        <v>-</v>
      </c>
      <c r="D12" s="9" t="s">
        <v>104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30"/>
    <col collapsed="false" customWidth="true" hidden="false" outlineLevel="0" max="4" min="4" style="1" width="14"/>
    <col collapsed="false" customWidth="true" hidden="false" outlineLevel="0" max="5" min="5" style="1" width="46"/>
  </cols>
  <sheetData>
    <row r="2" customFormat="false" ht="19.7" hidden="false" customHeight="false" outlineLevel="0" collapsed="false">
      <c r="B2" s="2" t="s">
        <v>105</v>
      </c>
    </row>
    <row r="3" customFormat="false" ht="15" hidden="false" customHeight="false" outlineLevel="0" collapsed="false">
      <c r="B3" s="9" t="s">
        <v>106</v>
      </c>
    </row>
    <row r="5" customFormat="false" ht="15" hidden="false" customHeight="false" outlineLevel="0" collapsed="false">
      <c r="B5" s="11" t="s">
        <v>107</v>
      </c>
      <c r="C5" s="11" t="s">
        <v>108</v>
      </c>
      <c r="D5" s="11" t="s">
        <v>109</v>
      </c>
      <c r="E5" s="11" t="s">
        <v>110</v>
      </c>
    </row>
    <row r="6" customFormat="false" ht="15" hidden="false" customHeight="false" outlineLevel="0" collapsed="false">
      <c r="B6" s="22" t="s">
        <v>111</v>
      </c>
      <c r="C6" s="22" t="s">
        <v>112</v>
      </c>
      <c r="D6" s="22" t="s">
        <v>113</v>
      </c>
      <c r="E6" s="23" t="s">
        <v>114</v>
      </c>
    </row>
    <row r="7" customFormat="false" ht="15" hidden="false" customHeight="false" outlineLevel="0" collapsed="false">
      <c r="B7" s="22" t="s">
        <v>115</v>
      </c>
      <c r="C7" s="22" t="s">
        <v>116</v>
      </c>
      <c r="D7" s="22" t="s">
        <v>117</v>
      </c>
      <c r="E7" s="23" t="s">
        <v>118</v>
      </c>
    </row>
    <row r="8" customFormat="false" ht="15" hidden="false" customHeight="false" outlineLevel="0" collapsed="false">
      <c r="B8" s="22" t="s">
        <v>119</v>
      </c>
      <c r="C8" s="22" t="s">
        <v>120</v>
      </c>
      <c r="D8" s="22" t="s">
        <v>117</v>
      </c>
      <c r="E8" s="23" t="s">
        <v>121</v>
      </c>
    </row>
    <row r="9" customFormat="false" ht="15" hidden="false" customHeight="false" outlineLevel="0" collapsed="false">
      <c r="B9" s="22" t="s">
        <v>122</v>
      </c>
      <c r="C9" s="22" t="s">
        <v>123</v>
      </c>
      <c r="D9" s="22" t="s">
        <v>117</v>
      </c>
      <c r="E9" s="23" t="s">
        <v>124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0"/>
    <col collapsed="false" customWidth="true" hidden="false" outlineLevel="0" max="3" min="3" style="1" width="18"/>
    <col collapsed="false" customWidth="true" hidden="false" outlineLevel="0" max="4" min="4" style="1" width="46"/>
  </cols>
  <sheetData>
    <row r="2" customFormat="false" ht="19.7" hidden="false" customHeight="false" outlineLevel="0" collapsed="false">
      <c r="B2" s="2" t="s">
        <v>125</v>
      </c>
    </row>
    <row r="3" customFormat="false" ht="15" hidden="false" customHeight="false" outlineLevel="0" collapsed="false">
      <c r="B3" s="9" t="s">
        <v>126</v>
      </c>
    </row>
    <row r="5" customFormat="false" ht="15" hidden="false" customHeight="false" outlineLevel="0" collapsed="false">
      <c r="B5" s="11" t="s">
        <v>127</v>
      </c>
      <c r="C5" s="11" t="s">
        <v>128</v>
      </c>
      <c r="D5" s="11" t="s">
        <v>129</v>
      </c>
    </row>
    <row r="6" customFormat="false" ht="15" hidden="false" customHeight="false" outlineLevel="0" collapsed="false">
      <c r="B6" s="22" t="s">
        <v>130</v>
      </c>
      <c r="C6" s="14" t="n">
        <f aca="false">IFERROR(IF(ISNUMBER('Bornhuetter-Ferguson'!K7),'Bornhuetter-Ferguson'!K7,0),"-")</f>
        <v>0</v>
      </c>
      <c r="D6" s="23" t="s">
        <v>131</v>
      </c>
    </row>
    <row r="7" customFormat="false" ht="15" hidden="false" customHeight="false" outlineLevel="0" collapsed="false">
      <c r="B7" s="22" t="s">
        <v>132</v>
      </c>
      <c r="C7" s="14" t="n">
        <f aca="false">'Mack Method'!D25</f>
        <v>0</v>
      </c>
      <c r="D7" s="23" t="s">
        <v>133</v>
      </c>
    </row>
    <row r="8" customFormat="false" ht="15" hidden="false" customHeight="false" outlineLevel="0" collapsed="false">
      <c r="B8" s="22" t="s">
        <v>134</v>
      </c>
      <c r="C8" s="24" t="n">
        <f aca="false">SUMPRODUCT(ABS('Mack Method'!C16:H16-'Loss Reserve Triangle'!C5:H5))+SUMPRODUCT(ABS('Mack Method'!C17:G17-'Loss Reserve Triangle'!C6:G6))</f>
        <v>0</v>
      </c>
      <c r="D8" s="23" t="s">
        <v>135</v>
      </c>
    </row>
    <row r="9" customFormat="false" ht="15" hidden="false" customHeight="false" outlineLevel="0" collapsed="false">
      <c r="B9" s="22" t="s">
        <v>136</v>
      </c>
      <c r="C9" s="24" t="b">
        <f aca="false">IF(COUNTIF('Mack Method'!F25:F30,"&lt;0")=0,TRUE(),FALSE())</f>
        <v>1</v>
      </c>
      <c r="D9" s="23" t="s">
        <v>137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5" min="4" style="1" width="30"/>
    <col collapsed="false" customWidth="true" hidden="false" outlineLevel="0" max="6" min="6" style="1" width="16"/>
  </cols>
  <sheetData>
    <row r="2" customFormat="false" ht="19.7" hidden="false" customHeight="false" outlineLevel="0" collapsed="false">
      <c r="B2" s="2" t="s">
        <v>138</v>
      </c>
    </row>
    <row r="4" customFormat="false" ht="15" hidden="false" customHeight="false" outlineLevel="0" collapsed="false">
      <c r="B4" s="11" t="s">
        <v>139</v>
      </c>
      <c r="C4" s="11" t="s">
        <v>140</v>
      </c>
      <c r="D4" s="11" t="s">
        <v>141</v>
      </c>
      <c r="E4" s="11" t="s">
        <v>142</v>
      </c>
      <c r="F4" s="11" t="s">
        <v>143</v>
      </c>
    </row>
    <row r="5" customFormat="false" ht="15" hidden="false" customHeight="false" outlineLevel="0" collapsed="false">
      <c r="B5" s="25"/>
      <c r="C5" s="25"/>
      <c r="D5" s="25"/>
      <c r="E5" s="25"/>
      <c r="F5" s="25"/>
    </row>
    <row r="6" customFormat="false" ht="15" hidden="false" customHeight="false" outlineLevel="0" collapsed="false">
      <c r="B6" s="25"/>
      <c r="C6" s="25"/>
      <c r="D6" s="25"/>
      <c r="E6" s="25"/>
      <c r="F6" s="25"/>
    </row>
    <row r="7" customFormat="false" ht="15" hidden="false" customHeight="false" outlineLevel="0" collapsed="false">
      <c r="B7" s="25"/>
      <c r="C7" s="25"/>
      <c r="D7" s="25"/>
      <c r="E7" s="25"/>
      <c r="F7" s="25"/>
    </row>
    <row r="8" customFormat="false" ht="15" hidden="false" customHeight="false" outlineLevel="0" collapsed="false">
      <c r="B8" s="25"/>
      <c r="C8" s="25"/>
      <c r="D8" s="25"/>
      <c r="E8" s="25"/>
      <c r="F8" s="25"/>
    </row>
    <row r="9" customFormat="false" ht="15" hidden="false" customHeight="false" outlineLevel="0" collapsed="false">
      <c r="B9" s="25"/>
      <c r="C9" s="25"/>
      <c r="D9" s="25"/>
      <c r="E9" s="25"/>
      <c r="F9" s="25"/>
    </row>
    <row r="10" customFormat="false" ht="15" hidden="false" customHeight="false" outlineLevel="0" collapsed="false">
      <c r="B10" s="25"/>
      <c r="C10" s="25"/>
      <c r="D10" s="25"/>
      <c r="E10" s="25"/>
      <c r="F10" s="25"/>
    </row>
    <row r="11" customFormat="false" ht="15" hidden="false" customHeight="false" outlineLevel="0" collapsed="false">
      <c r="B11" s="25"/>
      <c r="C11" s="25"/>
      <c r="D11" s="25"/>
      <c r="E11" s="25"/>
      <c r="F11" s="25"/>
    </row>
    <row r="12" customFormat="false" ht="15" hidden="false" customHeight="false" outlineLevel="0" collapsed="false">
      <c r="B12" s="25"/>
      <c r="C12" s="25"/>
      <c r="D12" s="25"/>
      <c r="E12" s="25"/>
      <c r="F12" s="25"/>
    </row>
    <row r="13" customFormat="false" ht="15" hidden="false" customHeight="false" outlineLevel="0" collapsed="false">
      <c r="B13" s="25"/>
      <c r="C13" s="25"/>
      <c r="D13" s="25"/>
      <c r="E13" s="25"/>
      <c r="F13" s="25"/>
    </row>
    <row r="14" customFormat="false" ht="15" hidden="false" customHeight="false" outlineLevel="0" collapsed="false">
      <c r="B14" s="25"/>
      <c r="C14" s="25"/>
      <c r="D14" s="25"/>
      <c r="E14" s="25"/>
      <c r="F14" s="2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2026-08-04T17:03:52Z</dcterms:created>
  <dc:creator>openpyxl</dc:creator>
  <dc:description/>
  <dc:language>en-US</dc:language>
  <cp:lastModifiedBy/>
  <dcterms:modified xsi:type="dcterms:W3CDTF">2026-08-04T17:03:52Z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