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Construction Budget" sheetId="2" state="visible" r:id="rId4"/>
    <sheet name="Operating Cash Flow" sheetId="3" state="visible" r:id="rId5"/>
    <sheet name="DSCR &amp; Debt Sizing" sheetId="4" state="visible" r:id="rId6"/>
    <sheet name="Sculpted Debt Schedule" sheetId="5" state="visible" r:id="rId7"/>
    <sheet name="DSRA" sheetId="6" state="visible" r:id="rId8"/>
    <sheet name="Sources" sheetId="7" state="visible" r:id="rId9"/>
    <sheet name="Checks" sheetId="8" state="visible" r:id="rId10"/>
    <sheet name="Refresh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<sst xmlns="http://schemas.openxmlformats.org/spreadsheetml/2006/main" count="130" uniqueCount="106">
  <si>
    <t xml:space="preserve">[PROJECT] — Project Finance Model</t>
  </si>
  <si>
    <t xml:space="preserve">Sector:</t>
  </si>
  <si>
    <t xml:space="preserve">Infrastructure / Energy / PPP</t>
  </si>
  <si>
    <t xml:space="preserve">Financial close date:</t>
  </si>
  <si>
    <t xml:space="preserve">[date]</t>
  </si>
  <si>
    <t xml:space="preserve">Last refreshed:</t>
  </si>
  <si>
    <t xml:space="preserve">Refresh cadence:</t>
  </si>
  <si>
    <t xml:space="preserve">Weekly during construction; monthly during ops</t>
  </si>
  <si>
    <t xml:space="preserve">Construction Budget &amp; Drawdown</t>
  </si>
  <si>
    <t xml:space="preserve">Total project cost ($)</t>
  </si>
  <si>
    <t xml:space="preserve">Debt / equity ratio (e.g. 0.70 = 70% debt)</t>
  </si>
  <si>
    <t xml:space="preserve">Construction period (months)</t>
  </si>
  <si>
    <t xml:space="preserve">Interest during construction rate (%)</t>
  </si>
  <si>
    <t xml:space="preserve">Debt drawn</t>
  </si>
  <si>
    <t xml:space="preserve">Equity drawn</t>
  </si>
  <si>
    <t xml:space="preserve">Interest during construction (IDC, simple approx.)</t>
  </si>
  <si>
    <t xml:space="preserve">Approximation: avg drawn balance x rate x period, /2 for linear drawdown</t>
  </si>
  <si>
    <t xml:space="preserve">Total debt at COD (incl. capitalized IDC)</t>
  </si>
  <si>
    <t xml:space="preserve">Operating Period Cash Flow ($mm)</t>
  </si>
  <si>
    <t xml:space="preserve">Line item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</si>
  <si>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</si>
  <si>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</si>
  <si>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</si>
  <si>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</si>
  <si>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</si>
  <si>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Contracted/merchant revenue</t>
  </si>
  <si>
    <t xml:space="preserve">- Operating costs</t>
  </si>
  <si>
    <t xml:space="preserve">EBITDA</t>
  </si>
  <si>
    <t xml:space="preserve">- Maintenance capex reserve</t>
  </si>
  <si>
    <t xml:space="preserve">Cash flow available for debt service (CFADS)</t>
  </si>
  <si>
    <t xml:space="preserve">DSCR &amp; Debt Sizing</t>
  </si>
  <si>
    <t xml:space="preserve">CFADS</t>
  </si>
  <si>
    <t xml:space="preserve">Debt service (P&amp;I)</t>
  </si>
  <si>
    <t xml:space="preserve">DSCR (CFADS / Debt service)</t>
  </si>
  <si>
    <t xml:space="preserve">Minimum DSCR covenant</t>
  </si>
  <si>
    <t xml:space="preserve">Debt interest rate (for sizing PV)</t>
  </si>
  <si>
    <t xml:space="preserve">Debt sizing (sculpted to the DSCR covenant)</t>
  </si>
  <si>
    <t xml:space="preserve">Max annual debt service (CFADS / target DSCR)</t>
  </si>
  <si>
    <t xml:space="preserve">PV of max debt service (discounted at debt rate)</t>
  </si>
  <si>
    <t xml:space="preserve">Max sculpted debt (sum of PVs of annual capacity)</t>
  </si>
  <si>
    <t xml:space="preserve">This is capacity, not a repayment schedule — a real deal still needs an amortization profile (sculpted or level) that fits within it and keeps DSCR above covenant every period, not just on average</t>
  </si>
  <si>
    <t xml:space="preserve">Sculpted Debt Repayment Schedule</t>
  </si>
  <si>
    <t xml:space="preserve">"Max sculpted debt" on the DSCR &amp; Debt Sizing tab is a capacity figure, not a schedule. This actually builds the amortization that hits the target DSCR every period by construction -- debt service each year is set to CFADS/target DSCR (sculpted), not level or mortgage-style -- and rolls the balance forward from interest on the BEGINNING balance only, so nothing here is circular.</t>
  </si>
  <si>
    <t xml:space="preserve">Beginning balance</t>
  </si>
  <si>
    <t xml:space="preserve">Interest (beginning balance x debt rate)</t>
  </si>
  <si>
    <t xml:space="preserve">Sculpted debt service (CFADS / target DSCR)</t>
  </si>
  <si>
    <t xml:space="preserve">Principal repayment (debt service - interest)</t>
  </si>
  <si>
    <t xml:space="preserve">Ending balance</t>
  </si>
  <si>
    <t xml:space="preserve">Total debt at COD</t>
  </si>
  <si>
    <t xml:space="preserve">Cumulative principal repaid through Yr5</t>
  </si>
  <si>
    <t xml:space="preserve">Remaining balance at Yr5 (balloon / refinancing need)</t>
  </si>
  <si>
    <t xml:space="preserve">Positive = the visible 5-year CFADS window doesn't fully retire the debt at this DSCR target -- normal for a debt tenor longer than the modeled window, but flag it, don't ignore it.</t>
  </si>
  <si>
    <t xml:space="preserve">Debt Service Reserve Account (DSRA)</t>
  </si>
  <si>
    <t xml:space="preserve">A cash reserve sized at N months of FORWARD debt service, funded at financial close, that can be drawn to cover a temporary CFADS shortfall without breaching the DSCR covenant or triggering default -- the actual mechanism (not the sculpted schedule) that absorbs a bad year.</t>
  </si>
  <si>
    <t xml:space="preserve">DSRA target (months of forward debt service)</t>
  </si>
  <si>
    <t xml:space="preserve">Required DSRA balance (target/12 x next yr's debt service)</t>
  </si>
  <si>
    <t xml:space="preserve">Stress Test: a CFADS Shock</t>
  </si>
  <si>
    <t xml:space="preserve">Year shocked</t>
  </si>
  <si>
    <t xml:space="preserve">CFADS shock this year (%)</t>
  </si>
  <si>
    <t xml:space="preserve">Sculpted debt service (fixed, contractual)</t>
  </si>
  <si>
    <t xml:space="preserve">Stressed CFADS (shock applied only in the shocked year)</t>
  </si>
  <si>
    <t xml:space="preserve">Shortfall vs. debt service ($, before DSRA)</t>
  </si>
  <si>
    <t xml:space="preserve">DSRA draw (min of shortfall, available DSRA balance)</t>
  </si>
  <si>
    <t xml:space="preserve">Effective DSCR with DSRA support</t>
  </si>
  <si>
    <t xml:space="preserve">Payment made in full WITH DSRA? (avoids payment default)</t>
  </si>
  <si>
    <t xml:space="preserve">Payment made in full WITHOUT DSRA? (for comparison)</t>
  </si>
  <si>
    <t xml:space="preserve">Distribution lock-up test (DSCR &gt;= target covenant)?</t>
  </si>
  <si>
    <t xml:space="preserve">DSRA's actual job is preventing a PAYMENT default (cash available &lt; debt service itself, DSCR&lt;1.0x), not clearing the softer distribution-lock-up test (DSCR&lt;target). A DSRA draw large enough to fund the payment in full can still leave the deal below its target DSCR and locked up from paying dividends -- the two are genuinely different triggers, not the same event twice. A DSRA draw also must be replenished from future surplus cash before any dividend to sponsors.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</si>
  <si>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</si>
  <si>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</si>
  <si>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</si>
  <si>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</si>
  <si>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</si>
  <si>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</si>
  <si>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Sculpted debt service = CFADS / target DSCR</t>
  </si>
  <si>
    <t xml:space="preserve">Standard project-finance debt sizing convention -- sculpting hits the covenant exactly rather than over- or under-sizing debt service</t>
  </si>
  <si>
    <t xml:space="preserve">Standard practice</t>
  </si>
  <si>
    <t xml:space="preserve">Assumes CFADS forecast is reliable; sculpting to a forecast that proves optimistic under-reserves the actual repayment capacity</t>
  </si>
  <si>
    <t xml:space="preserve">DSRA sized at N months of forward debt service</t>
  </si>
  <si>
    <t xml:space="preserve">Standard project-finance security package feature (near-universal in infrastructure/PPP financings)</t>
  </si>
  <si>
    <t xml:space="preserve">Forward-looking DSRA convention used here; some deals instead use a trailing/historic DSRA definition</t>
  </si>
  <si>
    <t xml:space="preserve">Interest on beginning-of-period balance only</t>
  </si>
  <si>
    <t xml:space="preserve">Modeling convention used throughout this repository to avoid circular references</t>
  </si>
  <si>
    <t xml:space="preserve">Matches the LBO and Private Credit debt schedules' convention</t>
  </si>
  <si>
    <t xml:space="preserve">Interest during construction (IDC) as avg-drawn-balance x rate x period / 2</t>
  </si>
  <si>
    <t xml:space="preserve">Standard linear-drawdown IDC approximation</t>
  </si>
  <si>
    <t xml:space="preserve">A real S-curve drawdown profile would give a different (usually slightly lower) IDC than linear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</si>
  <si>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</si>
  <si>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</si>
  <si>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</si>
  <si>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</si>
  <si>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</si>
  <si>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Ending balance ties: beginning - principal repayment = ending (Yr5)</t>
  </si>
  <si>
    <t xml:space="preserve">0 (exact) once the schedule is populated</t>
  </si>
  <si>
    <t xml:space="preserve">Roll-forward ties: Yr2 beginning balance = Yr1 ending balance</t>
  </si>
  <si>
    <t xml:space="preserve">0 (exact)</t>
  </si>
  <si>
    <t xml:space="preserve">DSRA draw never exceeds the required DSRA balance</t>
  </si>
  <si>
    <t xml:space="preserve">TRUE</t>
  </si>
  <si>
    <t xml:space="preserve">DSRA prevents payment default in the shocked year even though the softer lock-up test still fails</t>
  </si>
  <si>
    <t xml:space="preserve">TRUE at the default 30% Yr3 shock -- confirms DSRA cures the default without curing the covenant, the actual real-world distinction between the two triggers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</si>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</sst>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0.00\x"/>
    <numFmt numFmtId="169" formatCode="0.00%;\(0.00%\);\-"/>
    <numFmt numFmtId="170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4</v>
      </c>
    </row>
    <row r="7" customFormat="false" ht="15" hidden="false" customHeight="fals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8</v>
      </c>
    </row>
    <row r="5" customFormat="false" ht="15" hidden="false" customHeight="false" outlineLevel="0" collapsed="false">
      <c r="B5" s="5" t="s">
        <v>9</v>
      </c>
      <c r="C5" s="6" t="n">
        <v>0</v>
      </c>
    </row>
    <row r="6" customFormat="false" ht="15" hidden="false" customHeight="false" outlineLevel="0" collapsed="false">
      <c r="B6" s="5" t="s">
        <v>10</v>
      </c>
      <c r="C6" s="7" t="n">
        <v>0.7</v>
      </c>
    </row>
    <row r="7" customFormat="false" ht="15" hidden="false" customHeight="false" outlineLevel="0" collapsed="false">
      <c r="B7" s="5" t="s">
        <v>11</v>
      </c>
      <c r="C7" s="8" t="n">
        <v>24</v>
      </c>
    </row>
    <row r="8" customFormat="false" ht="15" hidden="false" customHeight="false" outlineLevel="0" collapsed="false">
      <c r="B8" s="5" t="s">
        <v>12</v>
      </c>
      <c r="C8" s="7" t="n">
        <v>0.06</v>
      </c>
    </row>
    <row r="11" customFormat="false" ht="15" hidden="false" customHeight="false" outlineLevel="0" collapsed="false">
      <c r="B11" s="1" t="s">
        <v>13</v>
      </c>
      <c r="C11" s="9" t="n">
        <f aca="false">C5*C6</f>
        <v>0</v>
      </c>
    </row>
    <row r="12" customFormat="false" ht="15" hidden="false" customHeight="false" outlineLevel="0" collapsed="false">
      <c r="B12" s="1" t="s">
        <v>14</v>
      </c>
      <c r="C12" s="9" t="n">
        <f aca="false">C5*(1-C6)</f>
        <v>0</v>
      </c>
    </row>
    <row r="13" customFormat="false" ht="15" hidden="false" customHeight="false" outlineLevel="0" collapsed="false">
      <c r="B13" s="1" t="s">
        <v>15</v>
      </c>
      <c r="C13" s="9" t="n">
        <f aca="false">C11*C8*(C7/12)/2</f>
        <v>0</v>
      </c>
      <c r="D13" s="10" t="s">
        <v>16</v>
      </c>
    </row>
    <row r="14" customFormat="false" ht="15" hidden="false" customHeight="false" outlineLevel="0" collapsed="false">
      <c r="B14" s="1" t="s">
        <v>17</v>
      </c>
      <c r="C14" s="11" t="n">
        <f aca="false">C11+C13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7" hidden="false" customHeight="false" outlineLevel="0" collapsed="false">
      <c r="B2" s="2" t="s">
        <v>18</v>
      </c>
    </row>
    <row r="4" customFormat="false" ht="15" hidden="false" customHeight="false" outlineLevel="0" collapsed="false">
      <c r="B4" s="1" t="s">
        <v>19</v>
      </c>
      <c r="C4" s="12" t="s">
        <v>20</v>
      </c>
      <c r="D4" s="12" t="s">
        <v>21</v>
      </c>
      <c r="E4" s="12" t="s">
        <v>22</v>
      </c>
      <c r="F4" s="12" t="s">
        <v>23</v>
      </c>
      <c r="G4" s="12" t="s">
        <v>24</v>
      </c>
    </row>
    <row r="5" customFormat="false" ht="15" hidden="false" customHeight="false" outlineLevel="0" collapsed="false">
      <c r="B5" s="5" t="s">
        <v>25</v>
      </c>
      <c r="C5" s="13" t="n">
        <v>0</v>
      </c>
      <c r="D5" s="13" t="n">
        <v>0</v>
      </c>
      <c r="E5" s="13" t="n">
        <v>0</v>
      </c>
      <c r="F5" s="13" t="n">
        <v>0</v>
      </c>
      <c r="G5" s="13" t="n">
        <v>0</v>
      </c>
    </row>
    <row r="6" customFormat="false" ht="15" hidden="false" customHeight="false" outlineLevel="0" collapsed="false">
      <c r="B6" s="5" t="s">
        <v>26</v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</row>
    <row r="7" customFormat="false" ht="15" hidden="false" customHeight="false" outlineLevel="0" collapsed="false">
      <c r="B7" s="3" t="s">
        <v>27</v>
      </c>
      <c r="C7" s="13" t="n">
        <f aca="false">C5+C6</f>
        <v>0</v>
      </c>
      <c r="D7" s="13" t="n">
        <f aca="false">D5+D6</f>
        <v>0</v>
      </c>
      <c r="E7" s="13" t="n">
        <f aca="false">E5+E6</f>
        <v>0</v>
      </c>
      <c r="F7" s="13" t="n">
        <f aca="false">F5+F6</f>
        <v>0</v>
      </c>
      <c r="G7" s="13" t="n">
        <f aca="false">G5+G6</f>
        <v>0</v>
      </c>
    </row>
    <row r="8" customFormat="false" ht="15" hidden="false" customHeight="false" outlineLevel="0" collapsed="false">
      <c r="B8" s="5" t="s">
        <v>28</v>
      </c>
      <c r="C8" s="13" t="n">
        <v>0</v>
      </c>
      <c r="D8" s="13" t="n">
        <v>0</v>
      </c>
      <c r="E8" s="13" t="n">
        <v>0</v>
      </c>
      <c r="F8" s="13" t="n">
        <v>0</v>
      </c>
      <c r="G8" s="13" t="n">
        <v>0</v>
      </c>
    </row>
    <row r="9" customFormat="false" ht="15" hidden="false" customHeight="false" outlineLevel="0" collapsed="false">
      <c r="B9" s="3" t="s">
        <v>29</v>
      </c>
      <c r="C9" s="13" t="n">
        <f aca="false">C7+C8</f>
        <v>0</v>
      </c>
      <c r="D9" s="13" t="n">
        <f aca="false">D7+D8</f>
        <v>0</v>
      </c>
      <c r="E9" s="13" t="n">
        <f aca="false">E7+E8</f>
        <v>0</v>
      </c>
      <c r="F9" s="13" t="n">
        <f aca="false">F7+F8</f>
        <v>0</v>
      </c>
      <c r="G9" s="13" t="n">
        <f aca="false">G7+G8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7" hidden="false" customHeight="false" outlineLevel="0" collapsed="false">
      <c r="B2" s="2" t="s">
        <v>30</v>
      </c>
    </row>
    <row r="4" customFormat="false" ht="15" hidden="false" customHeight="false" outlineLevel="0" collapsed="false">
      <c r="C4" s="12" t="s">
        <v>20</v>
      </c>
      <c r="D4" s="12" t="s">
        <v>21</v>
      </c>
      <c r="E4" s="12" t="s">
        <v>22</v>
      </c>
      <c r="F4" s="12" t="s">
        <v>23</v>
      </c>
      <c r="G4" s="12" t="s">
        <v>24</v>
      </c>
    </row>
    <row r="5" customFormat="false" ht="15" hidden="false" customHeight="false" outlineLevel="0" collapsed="false">
      <c r="B5" s="1" t="s">
        <v>31</v>
      </c>
      <c r="C5" s="14" t="n">
        <f aca="false">'Operating Cash Flow'!C9</f>
        <v>0</v>
      </c>
      <c r="D5" s="14" t="n">
        <f aca="false">'Operating Cash Flow'!D9</f>
        <v>0</v>
      </c>
      <c r="E5" s="14" t="n">
        <f aca="false">'Operating Cash Flow'!E9</f>
        <v>0</v>
      </c>
      <c r="F5" s="14" t="n">
        <f aca="false">'Operating Cash Flow'!F9</f>
        <v>0</v>
      </c>
      <c r="G5" s="14" t="n">
        <f aca="false">'Operating Cash Flow'!G9</f>
        <v>0</v>
      </c>
    </row>
    <row r="6" customFormat="false" ht="15" hidden="false" customHeight="false" outlineLevel="0" collapsed="false">
      <c r="B6" s="1" t="s">
        <v>32</v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</row>
    <row r="7" customFormat="false" ht="15" hidden="false" customHeight="false" outlineLevel="0" collapsed="false">
      <c r="B7" s="1" t="s">
        <v>33</v>
      </c>
      <c r="C7" s="15" t="str">
        <f aca="false">IFERROR(C5/C6,"-")</f>
        <v>-</v>
      </c>
      <c r="D7" s="15" t="str">
        <f aca="false">IFERROR(D5/D6,"-")</f>
        <v>-</v>
      </c>
      <c r="E7" s="15" t="str">
        <f aca="false">IFERROR(E5/E6,"-")</f>
        <v>-</v>
      </c>
      <c r="F7" s="15" t="str">
        <f aca="false">IFERROR(F5/F6,"-")</f>
        <v>-</v>
      </c>
      <c r="G7" s="15" t="str">
        <f aca="false">IFERROR(G5/G6,"-")</f>
        <v>-</v>
      </c>
    </row>
    <row r="9" customFormat="false" ht="15" hidden="false" customHeight="false" outlineLevel="0" collapsed="false">
      <c r="B9" s="1" t="s">
        <v>34</v>
      </c>
      <c r="C9" s="16" t="n">
        <v>1.2</v>
      </c>
    </row>
    <row r="10" customFormat="false" ht="15" hidden="false" customHeight="false" outlineLevel="0" collapsed="false">
      <c r="B10" s="1" t="s">
        <v>35</v>
      </c>
      <c r="C10" s="17" t="n">
        <v>0.06</v>
      </c>
    </row>
    <row r="12" customFormat="false" ht="15" hidden="false" customHeight="false" outlineLevel="0" collapsed="false">
      <c r="B12" s="18" t="s">
        <v>36</v>
      </c>
    </row>
    <row r="13" customFormat="false" ht="15" hidden="false" customHeight="false" outlineLevel="0" collapsed="false">
      <c r="B13" s="1" t="s">
        <v>37</v>
      </c>
      <c r="C13" s="9" t="n">
        <f aca="false">IFERROR(C5/$C$9,"-")</f>
        <v>0</v>
      </c>
      <c r="D13" s="9" t="n">
        <f aca="false">IFERROR(D5/$C$9,"-")</f>
        <v>0</v>
      </c>
      <c r="E13" s="9" t="n">
        <f aca="false">IFERROR(E5/$C$9,"-")</f>
        <v>0</v>
      </c>
      <c r="F13" s="9" t="n">
        <f aca="false">IFERROR(F5/$C$9,"-")</f>
        <v>0</v>
      </c>
      <c r="G13" s="9" t="n">
        <f aca="false">IFERROR(G5/$C$9,"-")</f>
        <v>0</v>
      </c>
    </row>
    <row r="14" customFormat="false" ht="15" hidden="false" customHeight="false" outlineLevel="0" collapsed="false">
      <c r="B14" s="1" t="s">
        <v>38</v>
      </c>
      <c r="C14" s="9" t="n">
        <f aca="false">IFERROR(C13/(1+$C$10)^1,"-")</f>
        <v>0</v>
      </c>
      <c r="D14" s="9" t="n">
        <f aca="false">IFERROR(D13/(1+$C$10)^2,"-")</f>
        <v>0</v>
      </c>
      <c r="E14" s="9" t="n">
        <f aca="false">IFERROR(E13/(1+$C$10)^3,"-")</f>
        <v>0</v>
      </c>
      <c r="F14" s="9" t="n">
        <f aca="false">IFERROR(F13/(1+$C$10)^4,"-")</f>
        <v>0</v>
      </c>
      <c r="G14" s="9" t="n">
        <f aca="false">IFERROR(G13/(1+$C$10)^5,"-")</f>
        <v>0</v>
      </c>
    </row>
    <row r="16" customFormat="false" ht="15" hidden="false" customHeight="false" outlineLevel="0" collapsed="false">
      <c r="B16" s="1" t="s">
        <v>39</v>
      </c>
      <c r="C16" s="11" t="n">
        <f aca="false">SUM(C14:G14)</f>
        <v>0</v>
      </c>
      <c r="D16" s="10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3"/>
    <col collapsed="false" customWidth="true" hidden="false" outlineLevel="0" max="8" min="8" style="1" width="40"/>
  </cols>
  <sheetData>
    <row r="2" customFormat="false" ht="19.7" hidden="false" customHeight="false" outlineLevel="0" collapsed="false">
      <c r="B2" s="2" t="s">
        <v>41</v>
      </c>
    </row>
    <row r="3" customFormat="false" ht="15" hidden="false" customHeight="false" outlineLevel="0" collapsed="false">
      <c r="B3" s="10" t="s">
        <v>42</v>
      </c>
    </row>
    <row r="5" customFormat="false" ht="15" hidden="false" customHeight="false" outlineLevel="0" collapsed="false">
      <c r="C5" s="12" t="s">
        <v>20</v>
      </c>
      <c r="D5" s="12" t="s">
        <v>21</v>
      </c>
      <c r="E5" s="12" t="s">
        <v>22</v>
      </c>
      <c r="F5" s="12" t="s">
        <v>23</v>
      </c>
      <c r="G5" s="12" t="s">
        <v>24</v>
      </c>
    </row>
    <row r="6" customFormat="false" ht="15" hidden="false" customHeight="false" outlineLevel="0" collapsed="false">
      <c r="B6" s="1" t="s">
        <v>43</v>
      </c>
      <c r="C6" s="14" t="n">
        <f aca="false">'Construction Budget'!C14</f>
        <v>0</v>
      </c>
      <c r="D6" s="9" t="n">
        <f aca="false">C10</f>
        <v>0</v>
      </c>
      <c r="E6" s="9" t="n">
        <f aca="false">D10</f>
        <v>0</v>
      </c>
      <c r="F6" s="9" t="n">
        <f aca="false">E10</f>
        <v>0</v>
      </c>
      <c r="G6" s="9" t="n">
        <f aca="false">F10</f>
        <v>0</v>
      </c>
    </row>
    <row r="7" customFormat="false" ht="15" hidden="false" customHeight="false" outlineLevel="0" collapsed="false">
      <c r="B7" s="1" t="s">
        <v>44</v>
      </c>
      <c r="C7" s="9" t="n">
        <f aca="false">C6*'DSCR &amp; Debt Sizing'!$C$10</f>
        <v>0</v>
      </c>
      <c r="D7" s="9" t="n">
        <f aca="false">D6*'DSCR &amp; Debt Sizing'!$C$10</f>
        <v>0</v>
      </c>
      <c r="E7" s="9" t="n">
        <f aca="false">E6*'DSCR &amp; Debt Sizing'!$C$10</f>
        <v>0</v>
      </c>
      <c r="F7" s="9" t="n">
        <f aca="false">F6*'DSCR &amp; Debt Sizing'!$C$10</f>
        <v>0</v>
      </c>
      <c r="G7" s="9" t="n">
        <f aca="false">G6*'DSCR &amp; Debt Sizing'!$C$10</f>
        <v>0</v>
      </c>
    </row>
    <row r="8" customFormat="false" ht="15" hidden="false" customHeight="false" outlineLevel="0" collapsed="false">
      <c r="B8" s="1" t="s">
        <v>45</v>
      </c>
      <c r="C8" s="14" t="n">
        <f aca="false">'DSCR &amp; Debt Sizing'!C13</f>
        <v>0</v>
      </c>
      <c r="D8" s="14" t="n">
        <f aca="false">'DSCR &amp; Debt Sizing'!D13</f>
        <v>0</v>
      </c>
      <c r="E8" s="14" t="n">
        <f aca="false">'DSCR &amp; Debt Sizing'!E13</f>
        <v>0</v>
      </c>
      <c r="F8" s="14" t="n">
        <f aca="false">'DSCR &amp; Debt Sizing'!F13</f>
        <v>0</v>
      </c>
      <c r="G8" s="14" t="n">
        <f aca="false">'DSCR &amp; Debt Sizing'!G13</f>
        <v>0</v>
      </c>
    </row>
    <row r="9" customFormat="false" ht="15" hidden="false" customHeight="false" outlineLevel="0" collapsed="false">
      <c r="B9" s="1" t="s">
        <v>46</v>
      </c>
      <c r="C9" s="9" t="n">
        <f aca="false">IF(C8&lt;C7,"INFEASIBLE",C8-C7)</f>
        <v>0</v>
      </c>
      <c r="D9" s="9" t="n">
        <f aca="false">IF(D8&lt;D7,"INFEASIBLE",D8-D7)</f>
        <v>0</v>
      </c>
      <c r="E9" s="9" t="n">
        <f aca="false">IF(E8&lt;E7,"INFEASIBLE",E8-E7)</f>
        <v>0</v>
      </c>
      <c r="F9" s="9" t="n">
        <f aca="false">IF(F8&lt;F7,"INFEASIBLE",F8-F7)</f>
        <v>0</v>
      </c>
      <c r="G9" s="9" t="n">
        <f aca="false">IF(G8&lt;G7,"INFEASIBLE",G8-G7)</f>
        <v>0</v>
      </c>
    </row>
    <row r="10" customFormat="false" ht="15" hidden="false" customHeight="false" outlineLevel="0" collapsed="false">
      <c r="B10" s="3" t="s">
        <v>47</v>
      </c>
      <c r="C10" s="11" t="n">
        <f aca="false">IF(ISNUMBER(C9),C6-C9,C6)</f>
        <v>0</v>
      </c>
      <c r="D10" s="11" t="n">
        <f aca="false">IF(ISNUMBER(D9),D6-D9,D6)</f>
        <v>0</v>
      </c>
      <c r="E10" s="11" t="n">
        <f aca="false">IF(ISNUMBER(E9),E6-E9,E6)</f>
        <v>0</v>
      </c>
      <c r="F10" s="11" t="n">
        <f aca="false">IF(ISNUMBER(F9),F6-F9,F6)</f>
        <v>0</v>
      </c>
      <c r="G10" s="11" t="n">
        <f aca="false">IF(ISNUMBER(G9),G6-G9,G6)</f>
        <v>0</v>
      </c>
    </row>
    <row r="12" customFormat="false" ht="15" hidden="false" customHeight="false" outlineLevel="0" collapsed="false">
      <c r="B12" s="1" t="s">
        <v>48</v>
      </c>
      <c r="C12" s="14" t="n">
        <f aca="false">'Construction Budget'!C14</f>
        <v>0</v>
      </c>
    </row>
    <row r="13" customFormat="false" ht="15" hidden="false" customHeight="false" outlineLevel="0" collapsed="false">
      <c r="B13" s="1" t="s">
        <v>49</v>
      </c>
      <c r="C13" s="9" t="n">
        <f aca="false">SUM(C9:G9)</f>
        <v>0</v>
      </c>
    </row>
    <row r="14" customFormat="false" ht="15" hidden="false" customHeight="false" outlineLevel="0" collapsed="false">
      <c r="B14" s="1" t="s">
        <v>50</v>
      </c>
      <c r="C14" s="11" t="n">
        <f aca="false">G10</f>
        <v>0</v>
      </c>
      <c r="D14" s="10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7" min="3" style="1" width="13"/>
    <col collapsed="false" customWidth="true" hidden="false" outlineLevel="0" max="8" min="8" style="1" width="40"/>
  </cols>
  <sheetData>
    <row r="2" customFormat="false" ht="19.7" hidden="false" customHeight="false" outlineLevel="0" collapsed="false">
      <c r="B2" s="2" t="s">
        <v>52</v>
      </c>
    </row>
    <row r="3" customFormat="false" ht="15" hidden="false" customHeight="false" outlineLevel="0" collapsed="false">
      <c r="B3" s="10" t="s">
        <v>53</v>
      </c>
    </row>
    <row r="5" customFormat="false" ht="15" hidden="false" customHeight="false" outlineLevel="0" collapsed="false">
      <c r="B5" s="1" t="s">
        <v>54</v>
      </c>
      <c r="C5" s="8" t="n">
        <v>6</v>
      </c>
    </row>
    <row r="7" customFormat="false" ht="15" hidden="false" customHeight="false" outlineLevel="0" collapsed="false">
      <c r="C7" s="12" t="s">
        <v>20</v>
      </c>
      <c r="D7" s="12" t="s">
        <v>21</v>
      </c>
      <c r="E7" s="12" t="s">
        <v>22</v>
      </c>
      <c r="F7" s="12" t="s">
        <v>23</v>
      </c>
      <c r="G7" s="12" t="s">
        <v>24</v>
      </c>
    </row>
    <row r="8" customFormat="false" ht="15" hidden="false" customHeight="false" outlineLevel="0" collapsed="false">
      <c r="B8" s="1" t="s">
        <v>55</v>
      </c>
      <c r="C8" s="9" t="n">
        <f aca="false">$C$5/12*'Sculpted Debt Schedule'!D8</f>
        <v>0</v>
      </c>
      <c r="D8" s="9" t="n">
        <f aca="false">$C$5/12*'Sculpted Debt Schedule'!E8</f>
        <v>0</v>
      </c>
      <c r="E8" s="9" t="n">
        <f aca="false">$C$5/12*'Sculpted Debt Schedule'!F8</f>
        <v>0</v>
      </c>
      <c r="F8" s="9" t="n">
        <f aca="false">$C$5/12*'Sculpted Debt Schedule'!G8</f>
        <v>0</v>
      </c>
      <c r="G8" s="9" t="n">
        <f aca="false">$C$5/12*'Sculpted Debt Schedule'!G8</f>
        <v>0</v>
      </c>
    </row>
    <row r="10" customFormat="false" ht="15" hidden="false" customHeight="false" outlineLevel="0" collapsed="false">
      <c r="B10" s="18" t="s">
        <v>56</v>
      </c>
    </row>
    <row r="11" customFormat="false" ht="15" hidden="false" customHeight="false" outlineLevel="0" collapsed="false">
      <c r="B11" s="1" t="s">
        <v>57</v>
      </c>
      <c r="C11" s="8" t="n">
        <v>3</v>
      </c>
    </row>
    <row r="12" customFormat="false" ht="15" hidden="false" customHeight="false" outlineLevel="0" collapsed="false">
      <c r="B12" s="1" t="s">
        <v>58</v>
      </c>
      <c r="C12" s="7" t="n">
        <v>-0.3</v>
      </c>
    </row>
    <row r="14" customFormat="false" ht="15" hidden="false" customHeight="false" outlineLevel="0" collapsed="false">
      <c r="C14" s="12" t="s">
        <v>20</v>
      </c>
      <c r="D14" s="12" t="s">
        <v>21</v>
      </c>
      <c r="E14" s="12" t="s">
        <v>22</v>
      </c>
      <c r="F14" s="12" t="s">
        <v>23</v>
      </c>
      <c r="G14" s="12" t="s">
        <v>24</v>
      </c>
    </row>
    <row r="15" customFormat="false" ht="15" hidden="false" customHeight="false" outlineLevel="0" collapsed="false">
      <c r="B15" s="1" t="s">
        <v>59</v>
      </c>
      <c r="C15" s="9" t="n">
        <f aca="false">'Sculpted Debt Schedule'!C8</f>
        <v>0</v>
      </c>
      <c r="D15" s="9" t="n">
        <f aca="false">'Sculpted Debt Schedule'!D8</f>
        <v>0</v>
      </c>
      <c r="E15" s="9" t="n">
        <f aca="false">'Sculpted Debt Schedule'!E8</f>
        <v>0</v>
      </c>
      <c r="F15" s="9" t="n">
        <f aca="false">'Sculpted Debt Schedule'!F8</f>
        <v>0</v>
      </c>
      <c r="G15" s="9" t="n">
        <f aca="false">'Sculpted Debt Schedule'!G8</f>
        <v>0</v>
      </c>
    </row>
    <row r="16" customFormat="false" ht="15" hidden="false" customHeight="false" outlineLevel="0" collapsed="false">
      <c r="B16" s="1" t="s">
        <v>60</v>
      </c>
      <c r="C16" s="9" t="n">
        <f aca="false">IF($C$11=1,'Operating Cash Flow'!C9*(1+$C$12),'Operating Cash Flow'!C9)</f>
        <v>0</v>
      </c>
      <c r="D16" s="9" t="n">
        <f aca="false">IF($C$11=2,'Operating Cash Flow'!D9*(1+$C$12),'Operating Cash Flow'!D9)</f>
        <v>0</v>
      </c>
      <c r="E16" s="9" t="n">
        <f aca="false">IF($C$11=3,'Operating Cash Flow'!E9*(1+$C$12),'Operating Cash Flow'!E9)</f>
        <v>0</v>
      </c>
      <c r="F16" s="9" t="n">
        <f aca="false">IF($C$11=4,'Operating Cash Flow'!F9*(1+$C$12),'Operating Cash Flow'!F9)</f>
        <v>0</v>
      </c>
      <c r="G16" s="9" t="n">
        <f aca="false">IF($C$11=5,'Operating Cash Flow'!G9*(1+$C$12),'Operating Cash Flow'!G9)</f>
        <v>0</v>
      </c>
    </row>
    <row r="17" customFormat="false" ht="15" hidden="false" customHeight="false" outlineLevel="0" collapsed="false">
      <c r="B17" s="1" t="s">
        <v>61</v>
      </c>
      <c r="C17" s="9" t="n">
        <f aca="false">MAX(C15-C16,0)</f>
        <v>0</v>
      </c>
      <c r="D17" s="9" t="n">
        <f aca="false">MAX(D15-D16,0)</f>
        <v>0</v>
      </c>
      <c r="E17" s="9" t="n">
        <f aca="false">MAX(E15-E16,0)</f>
        <v>0</v>
      </c>
      <c r="F17" s="9" t="n">
        <f aca="false">MAX(F15-F16,0)</f>
        <v>0</v>
      </c>
      <c r="G17" s="9" t="n">
        <f aca="false">MAX(G15-G16,0)</f>
        <v>0</v>
      </c>
    </row>
    <row r="18" customFormat="false" ht="15" hidden="false" customHeight="false" outlineLevel="0" collapsed="false">
      <c r="B18" s="1" t="s">
        <v>62</v>
      </c>
      <c r="C18" s="9" t="n">
        <f aca="false">MIN(C17,C8)</f>
        <v>0</v>
      </c>
      <c r="D18" s="9" t="n">
        <f aca="false">MIN(D17,D8)</f>
        <v>0</v>
      </c>
      <c r="E18" s="9" t="n">
        <f aca="false">MIN(E17,E8)</f>
        <v>0</v>
      </c>
      <c r="F18" s="9" t="n">
        <f aca="false">MIN(F17,F8)</f>
        <v>0</v>
      </c>
      <c r="G18" s="9" t="n">
        <f aca="false">MIN(G17,G8)</f>
        <v>0</v>
      </c>
    </row>
    <row r="19" customFormat="false" ht="15" hidden="false" customHeight="false" outlineLevel="0" collapsed="false">
      <c r="B19" s="1" t="s">
        <v>63</v>
      </c>
      <c r="C19" s="19" t="str">
        <f aca="false">IFERROR((C16+C18)/C15,"-")</f>
        <v>-</v>
      </c>
      <c r="D19" s="19" t="str">
        <f aca="false">IFERROR((D16+D18)/D15,"-")</f>
        <v>-</v>
      </c>
      <c r="E19" s="19" t="str">
        <f aca="false">IFERROR((E16+E18)/E15,"-")</f>
        <v>-</v>
      </c>
      <c r="F19" s="19" t="str">
        <f aca="false">IFERROR((F16+F18)/F15,"-")</f>
        <v>-</v>
      </c>
      <c r="G19" s="19" t="str">
        <f aca="false">IFERROR((G16+G18)/G15,"-")</f>
        <v>-</v>
      </c>
    </row>
    <row r="20" customFormat="false" ht="15" hidden="false" customHeight="false" outlineLevel="0" collapsed="false">
      <c r="B20" s="1" t="s">
        <v>64</v>
      </c>
      <c r="C20" s="20" t="str">
        <f aca="false">IF(C16+C18&gt;=C15,"PAID IN FULL","PAYMENT DEFAULT")</f>
        <v>PAID IN FULL</v>
      </c>
      <c r="D20" s="20" t="str">
        <f aca="false">IF(D16+D18&gt;=D15,"PAID IN FULL","PAYMENT DEFAULT")</f>
        <v>PAID IN FULL</v>
      </c>
      <c r="E20" s="20" t="str">
        <f aca="false">IF(E16+E18&gt;=E15,"PAID IN FULL","PAYMENT DEFAULT")</f>
        <v>PAID IN FULL</v>
      </c>
      <c r="F20" s="20" t="str">
        <f aca="false">IF(F16+F18&gt;=F15,"PAID IN FULL","PAYMENT DEFAULT")</f>
        <v>PAID IN FULL</v>
      </c>
      <c r="G20" s="20" t="str">
        <f aca="false">IF(G16+G18&gt;=G15,"PAID IN FULL","PAYMENT DEFAULT")</f>
        <v>PAID IN FULL</v>
      </c>
    </row>
    <row r="21" customFormat="false" ht="15" hidden="false" customHeight="false" outlineLevel="0" collapsed="false">
      <c r="B21" s="1" t="s">
        <v>65</v>
      </c>
      <c r="C21" s="20" t="str">
        <f aca="false">IF(C16&gt;=C15,"PAID IN FULL","PAYMENT DEFAULT")</f>
        <v>PAID IN FULL</v>
      </c>
      <c r="D21" s="20" t="str">
        <f aca="false">IF(D16&gt;=D15,"PAID IN FULL","PAYMENT DEFAULT")</f>
        <v>PAID IN FULL</v>
      </c>
      <c r="E21" s="20" t="str">
        <f aca="false">IF(E16&gt;=E15,"PAID IN FULL","PAYMENT DEFAULT")</f>
        <v>PAID IN FULL</v>
      </c>
      <c r="F21" s="20" t="str">
        <f aca="false">IF(F16&gt;=F15,"PAID IN FULL","PAYMENT DEFAULT")</f>
        <v>PAID IN FULL</v>
      </c>
      <c r="G21" s="20" t="str">
        <f aca="false">IF(G16&gt;=G15,"PAID IN FULL","PAYMENT DEFAULT")</f>
        <v>PAID IN FULL</v>
      </c>
    </row>
    <row r="22" customFormat="false" ht="15" hidden="false" customHeight="false" outlineLevel="0" collapsed="false">
      <c r="B22" s="1" t="s">
        <v>66</v>
      </c>
      <c r="C22" s="21" t="str">
        <f aca="false">IF(C19="-","-",IF(C19&gt;='DSCR &amp; Debt Sizing'!$C$9,"CLEAR","LOCKED UP"))</f>
        <v>-</v>
      </c>
      <c r="D22" s="21" t="str">
        <f aca="false">IF(D19="-","-",IF(D19&gt;='DSCR &amp; Debt Sizing'!$C$9,"CLEAR","LOCKED UP"))</f>
        <v>-</v>
      </c>
      <c r="E22" s="21" t="str">
        <f aca="false">IF(E19="-","-",IF(E19&gt;='DSCR &amp; Debt Sizing'!$C$9,"CLEAR","LOCKED UP"))</f>
        <v>-</v>
      </c>
      <c r="F22" s="21" t="str">
        <f aca="false">IF(F19="-","-",IF(F19&gt;='DSCR &amp; Debt Sizing'!$C$9,"CLEAR","LOCKED UP"))</f>
        <v>-</v>
      </c>
      <c r="G22" s="21" t="str">
        <f aca="false">IF(G19="-","-",IF(G19&gt;='DSCR &amp; Debt Sizing'!$C$9,"CLEAR","LOCKED UP"))</f>
        <v>-</v>
      </c>
    </row>
    <row r="24" customFormat="false" ht="15" hidden="false" customHeight="false" outlineLevel="0" collapsed="false">
      <c r="B24" s="10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68</v>
      </c>
    </row>
    <row r="3" customFormat="false" ht="15" hidden="false" customHeight="false" outlineLevel="0" collapsed="false">
      <c r="B3" s="10" t="s">
        <v>69</v>
      </c>
    </row>
    <row r="5" customFormat="false" ht="15" hidden="false" customHeight="false" outlineLevel="0" collapsed="false">
      <c r="B5" s="12" t="s">
        <v>70</v>
      </c>
      <c r="C5" s="12" t="s">
        <v>71</v>
      </c>
      <c r="D5" s="12" t="s">
        <v>72</v>
      </c>
      <c r="E5" s="12" t="s">
        <v>73</v>
      </c>
    </row>
    <row r="6" customFormat="false" ht="15" hidden="false" customHeight="false" outlineLevel="0" collapsed="false">
      <c r="B6" s="22" t="s">
        <v>74</v>
      </c>
      <c r="C6" s="22" t="s">
        <v>75</v>
      </c>
      <c r="D6" s="22" t="s">
        <v>76</v>
      </c>
      <c r="E6" s="23" t="s">
        <v>77</v>
      </c>
    </row>
    <row r="7" customFormat="false" ht="15" hidden="false" customHeight="false" outlineLevel="0" collapsed="false">
      <c r="B7" s="22" t="s">
        <v>78</v>
      </c>
      <c r="C7" s="22" t="s">
        <v>79</v>
      </c>
      <c r="D7" s="22" t="s">
        <v>76</v>
      </c>
      <c r="E7" s="23" t="s">
        <v>80</v>
      </c>
    </row>
    <row r="8" customFormat="false" ht="15" hidden="false" customHeight="false" outlineLevel="0" collapsed="false">
      <c r="B8" s="22" t="s">
        <v>81</v>
      </c>
      <c r="C8" s="22" t="s">
        <v>82</v>
      </c>
      <c r="D8" s="22" t="s">
        <v>76</v>
      </c>
      <c r="E8" s="23" t="s">
        <v>83</v>
      </c>
    </row>
    <row r="9" customFormat="false" ht="15" hidden="false" customHeight="false" outlineLevel="0" collapsed="false">
      <c r="B9" s="22" t="s">
        <v>84</v>
      </c>
      <c r="C9" s="22" t="s">
        <v>85</v>
      </c>
      <c r="D9" s="22" t="s">
        <v>76</v>
      </c>
      <c r="E9" s="23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87</v>
      </c>
    </row>
    <row r="3" customFormat="false" ht="15" hidden="false" customHeight="false" outlineLevel="0" collapsed="false">
      <c r="B3" s="10" t="s">
        <v>88</v>
      </c>
    </row>
    <row r="5" customFormat="false" ht="15" hidden="false" customHeight="false" outlineLevel="0" collapsed="false">
      <c r="B5" s="12" t="s">
        <v>89</v>
      </c>
      <c r="C5" s="12" t="s">
        <v>90</v>
      </c>
      <c r="D5" s="12" t="s">
        <v>91</v>
      </c>
    </row>
    <row r="6" customFormat="false" ht="15" hidden="false" customHeight="false" outlineLevel="0" collapsed="false">
      <c r="B6" s="22" t="s">
        <v>92</v>
      </c>
      <c r="C6" s="20" t="n">
        <f aca="false">IFERROR('Sculpted Debt Schedule'!G10-('Sculpted Debt Schedule'!G6-'Sculpted Debt Schedule'!G9),"-")</f>
        <v>0</v>
      </c>
      <c r="D6" s="23" t="s">
        <v>93</v>
      </c>
    </row>
    <row r="7" customFormat="false" ht="15" hidden="false" customHeight="false" outlineLevel="0" collapsed="false">
      <c r="B7" s="22" t="s">
        <v>94</v>
      </c>
      <c r="C7" s="20" t="n">
        <f aca="false">'Sculpted Debt Schedule'!D6-'Sculpted Debt Schedule'!C10</f>
        <v>0</v>
      </c>
      <c r="D7" s="23" t="s">
        <v>95</v>
      </c>
    </row>
    <row r="8" customFormat="false" ht="15" hidden="false" customHeight="false" outlineLevel="0" collapsed="false">
      <c r="B8" s="22" t="s">
        <v>96</v>
      </c>
      <c r="C8" s="24" t="b">
        <f aca="false">IF(MAX(DSRA!C18:G18-DSRA!C8:G8)&lt;=0.0001,TRUE(),FALSE())</f>
        <v>1</v>
      </c>
      <c r="D8" s="23" t="s">
        <v>97</v>
      </c>
    </row>
    <row r="9" customFormat="false" ht="15" hidden="false" customHeight="false" outlineLevel="0" collapsed="false">
      <c r="B9" s="22" t="s">
        <v>98</v>
      </c>
      <c r="C9" s="24" t="b">
        <f aca="false">IF(AND(DSRA!E20="PAID IN FULL",DSRA!E21="PAYMENT DEFAULT",DSRA!E22="LOCKED UP"),TRUE(),FALSE())</f>
        <v>0</v>
      </c>
      <c r="D9" s="23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100</v>
      </c>
    </row>
    <row r="4" customFormat="false" ht="15" hidden="false" customHeight="false" outlineLevel="0" collapsed="false">
      <c r="B4" s="12" t="s">
        <v>101</v>
      </c>
      <c r="C4" s="12" t="s">
        <v>102</v>
      </c>
      <c r="D4" s="12" t="s">
        <v>103</v>
      </c>
      <c r="E4" s="12" t="s">
        <v>104</v>
      </c>
      <c r="F4" s="12" t="s">
        <v>105</v>
      </c>
    </row>
    <row r="5" customFormat="false" ht="15" hidden="false" customHeight="false" outlineLevel="0" collapsed="false">
      <c r="B5" s="21"/>
      <c r="C5" s="21"/>
      <c r="D5" s="21"/>
      <c r="E5" s="21"/>
      <c r="F5" s="21"/>
    </row>
    <row r="6" customFormat="false" ht="15" hidden="false" customHeight="false" outlineLevel="0" collapsed="false">
      <c r="B6" s="21"/>
      <c r="C6" s="21"/>
      <c r="D6" s="21"/>
      <c r="E6" s="21"/>
      <c r="F6" s="21"/>
    </row>
    <row r="7" customFormat="false" ht="15" hidden="false" customHeight="false" outlineLevel="0" collapsed="false">
      <c r="B7" s="21"/>
      <c r="C7" s="21"/>
      <c r="D7" s="21"/>
      <c r="E7" s="21"/>
      <c r="F7" s="21"/>
    </row>
    <row r="8" customFormat="false" ht="15" hidden="false" customHeight="false" outlineLevel="0" collapsed="false">
      <c r="B8" s="21"/>
      <c r="C8" s="21"/>
      <c r="D8" s="21"/>
      <c r="E8" s="21"/>
      <c r="F8" s="21"/>
    </row>
    <row r="9" customFormat="false" ht="15" hidden="false" customHeight="false" outlineLevel="0" collapsed="false">
      <c r="B9" s="21"/>
      <c r="C9" s="21"/>
      <c r="D9" s="21"/>
      <c r="E9" s="21"/>
      <c r="F9" s="21"/>
    </row>
    <row r="10" customFormat="false" ht="15" hidden="false" customHeight="false" outlineLevel="0" collapsed="false">
      <c r="B10" s="21"/>
      <c r="C10" s="21"/>
      <c r="D10" s="21"/>
      <c r="E10" s="21"/>
      <c r="F10" s="21"/>
    </row>
    <row r="11" customFormat="false" ht="15" hidden="false" customHeight="false" outlineLevel="0" collapsed="false">
      <c r="B11" s="21"/>
      <c r="C11" s="21"/>
      <c r="D11" s="21"/>
      <c r="E11" s="21"/>
      <c r="F11" s="21"/>
    </row>
    <row r="12" customFormat="false" ht="15" hidden="false" customHeight="false" outlineLevel="0" collapsed="false">
      <c r="B12" s="21"/>
      <c r="C12" s="21"/>
      <c r="D12" s="21"/>
      <c r="E12" s="21"/>
      <c r="F12" s="21"/>
    </row>
    <row r="13" customFormat="false" ht="15" hidden="false" customHeight="false" outlineLevel="0" collapsed="false">
      <c r="B13" s="21"/>
      <c r="C13" s="21"/>
      <c r="D13" s="21"/>
      <c r="E13" s="21"/>
      <c r="F13" s="21"/>
    </row>
    <row r="14" customFormat="false" ht="15" hidden="false" customHeight="false" outlineLevel="0" collapsed="false">
      <c r="B14" s="21"/>
      <c r="C14" s="21"/>
      <c r="D14" s="21"/>
      <c r="E14" s="21"/>
      <c r="F14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2026-08-04T14:23:33Z</dcterms:created>
  <dc:creator>openpyxl</dc:creator>
  <dc:description/>
  <dc:language>en-US</dc:language>
  <cp:lastModifiedBy/>
  <dcterms:modified xsi:type="dcterms:W3CDTF">2026-08-04T14:23:33Z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