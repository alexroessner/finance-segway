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Working Capital Cycle" sheetId="2" state="visible" r:id="rId4"/>
    <sheet name="LC &amp; Factoring Cost" sheetId="3" state="visible" r:id="rId5"/>
    <sheet name="Dynamic Discounting &amp; SCF" sheetId="4" state="visible" r:id="rId6"/>
    <sheet name="Financing Cost Comparison" sheetId="5" state="visible" r:id="rId7"/>
    <sheet name="Sources" sheetId="6" state="visible" r:id="rId8"/>
    <sheet name="Checks" sheetId="7" state="visible" r:id="rId9"/>
    <sheet name="RefreshLo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<sst xmlns="http://schemas.openxmlformats.org/spreadsheetml/2006/main" count="120" uniqueCount="117">
  <si>
    <t xml:space="preserve">[COUNTERPARTY] — Trade Finance Model</t>
  </si>
  <si>
    <t xml:space="preserve">Counterparty:</t>
  </si>
  <si>
    <t xml:space="preserve">[fill in]</t>
  </si>
  <si>
    <t xml:space="preserve">Trade corridor:</t>
  </si>
  <si>
    <t xml:space="preserve">[e.g. exporter-importer country pair]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</si>
  <si>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</si>
  <si>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</si>
  <si>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</si>
  <si>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</si>
  <si>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Cash Conversion Cycle</t>
  </si>
  <si>
    <t xml:space="preserve">Inputs</t>
  </si>
  <si>
    <t xml:space="preserve">Revenue ($, annual)</t>
  </si>
  <si>
    <t xml:space="preserve">COGS ($, annual)</t>
  </si>
  <si>
    <t xml:space="preserve">Average accounts receivable ($)</t>
  </si>
  <si>
    <t xml:space="preserve">Average inventory ($)</t>
  </si>
  <si>
    <t xml:space="preserve">Average accounts payable ($)</t>
  </si>
  <si>
    <t xml:space="preserve">Outputs</t>
  </si>
  <si>
    <t xml:space="preserve">DSO (Days Sales Outstanding)</t>
  </si>
  <si>
    <t xml:space="preserve">DIO (Days Inventory Outstanding)</t>
  </si>
  <si>
    <t xml:space="preserve">DPO (Days Payable Outstanding)</t>
  </si>
  <si>
    <t xml:space="preserve">Cash Conversion Cycle (DSO+DIO-DPO)</t>
  </si>
  <si>
    <t xml:space="preserve">Days cash tied up per cycle — lower/negative is better (supplier financing your growth)</t>
  </si>
  <si>
    <t xml:space="preserve">Working capital required ($, approx.)</t>
  </si>
  <si>
    <t xml:space="preserve">Letter of Credit &amp; Factoring Cost Model</t>
  </si>
  <si>
    <t xml:space="preserve">Letter of Credit</t>
  </si>
  <si>
    <t xml:space="preserve">LC face value ($)</t>
  </si>
  <si>
    <t xml:space="preserve">Issuance fee %</t>
  </si>
  <si>
    <t xml:space="preserve">Confirmation fee %</t>
  </si>
  <si>
    <t xml:space="preserve">Tenor (days)</t>
  </si>
  <si>
    <t xml:space="preserve">Total LC cost ($)</t>
  </si>
  <si>
    <t xml:space="preserve">Annualized LC cost %</t>
  </si>
  <si>
    <t xml:space="preserve">Factoring / Invoice Discounting</t>
  </si>
  <si>
    <t xml:space="preserve">Invoice face value ($)</t>
  </si>
  <si>
    <t xml:space="preserve">Advance rate %</t>
  </si>
  <si>
    <t xml:space="preserve">Discount/factor fee %</t>
  </si>
  <si>
    <t xml:space="preserve">Days to collection</t>
  </si>
  <si>
    <t xml:space="preserve">Cash advanced immediately ($)</t>
  </si>
  <si>
    <t xml:space="preserve">Factoring fee ($)</t>
  </si>
  <si>
    <t xml:space="preserve">Net proceeds after collection ($)</t>
  </si>
  <si>
    <t xml:space="preserve">Effective annualized cost of factoring %</t>
  </si>
  <si>
    <t xml:space="preserve">Compare vs. bank credit line rate to decide financing channel</t>
  </si>
  <si>
    <t xml:space="preserve">Dynamic Discounting &amp; Supply Chain Finance</t>
  </si>
  <si>
    <t xml:space="preserve">Two mechanisms this repo's other trade-finance channels don't cover: the implied APR of a standard early-payment TRADE discount (the classic "2/10 net 30" factoid), and reverse factoring, which prices off the BUYER's stronger credit rather than the supplier's own -- the actual reason supply chain finance programs exist.</t>
  </si>
  <si>
    <t xml:space="preserve">Early-Payment Trade Discount</t>
  </si>
  <si>
    <t xml:space="preserve">Discount % (e.g. the "2" in 2/10 net 30)</t>
  </si>
  <si>
    <t xml:space="preserve">Discount period (days, the "10")</t>
  </si>
  <si>
    <t xml:space="preserve">Net due period (days, the "30")</t>
  </si>
  <si>
    <t xml:space="preserve">Implied APR of FORGOING the discount</t>
  </si>
  <si>
    <t xml:space="preserve">Standard formula: (discount%/(1-discount%)) x (360/(net days - discount days)) -- the classic corporate-finance textbook convention (360-day year). 2/10 net 30 works out to ~36.7% -- paying on day 30 instead of day 10 is effectively borrowing at that rate for 20 days.</t>
  </si>
  <si>
    <t xml:space="preserve">Supply Chain Finance (Reverse Factoring)</t>
  </si>
  <si>
    <t xml:space="preserve">Buyer's (stronger) credit-based discount rate, annual (%)</t>
  </si>
  <si>
    <t xml:space="preserve">Days paid early (vs. invoice due date)</t>
  </si>
  <si>
    <t xml:space="preserve">SCF cost ($)</t>
  </si>
  <si>
    <t xml:space="preserve">SCF annualized cost (%)</t>
  </si>
  <si>
    <t xml:space="preserve">Supplier's own standalone factoring rate (from LC &amp; Factoring tab)</t>
  </si>
  <si>
    <t xml:space="preserve">SCF savings vs. standalone factoring (percentage points)</t>
  </si>
  <si>
    <t xml:space="preserve">This gap -- financing off the buyer's credit instead of the supplier's own -- is the entire reason SCF/reverse-factoring programs (Taulia, PrimeRevenue, C2FO, etc.) exist</t>
  </si>
  <si>
    <t xml:space="preserve">Which Financing Channel Is Cheapest?</t>
  </si>
  <si>
    <t xml:space="preserve">Revolving credit line (alternative)</t>
  </si>
  <si>
    <t xml:space="preserve">Draw amount ($)</t>
  </si>
  <si>
    <t xml:space="preserve">Base rate + spread, all-in (%)</t>
  </si>
  <si>
    <t xml:space="preserve">Commitment fee on undrawn (%)</t>
  </si>
  <si>
    <t xml:space="preserve">Undrawn facility amount ($)</t>
  </si>
  <si>
    <t xml:space="preserve">Revolver interest cost ($)</t>
  </si>
  <si>
    <t xml:space="preserve">Revolver commitment fee ($)</t>
  </si>
  <si>
    <t xml:space="preserve">Revolver annualized all-in cost %</t>
  </si>
  <si>
    <t xml:space="preserve">Comparison</t>
  </si>
  <si>
    <t xml:space="preserve">Channel</t>
  </si>
  <si>
    <t xml:space="preserve">Annualized cost %</t>
  </si>
  <si>
    <t xml:space="preserve">Letter of credit</t>
  </si>
  <si>
    <t xml:space="preserve">Factoring / invoice discounting</t>
  </si>
  <si>
    <t xml:space="preserve">Revolving credit line</t>
  </si>
  <si>
    <t xml:space="preserve">Early-payment discount forgone (opportunity cost of not paying early)</t>
  </si>
  <si>
    <t xml:space="preserve">Supply chain finance (reverse factoring)</t>
  </si>
  <si>
    <t xml:space="preserve">Cheapest channel</t>
  </si>
  <si>
    <t xml:space="preserve">Only declares a winner once all five channels have real numbers — one live rate shouldn't beat four blanks by default</t>
  </si>
  <si>
    <t xml:space="preserve">Cheapest annualized cost %</t>
  </si>
  <si>
    <t xml:space="preserve">Compares only financing cost — also weigh speed, collateral/covenant burden, and counterparty credit risk transfer (LC shifts payment risk to the issuing bank; factoring can be non-recourse; SCF depends on the buyer maintaining its own credit quality)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</si>
  <si>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</si>
  <si>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</si>
  <si>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</si>
  <si>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</si>
  <si>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</si>
  <si>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</si>
  <si>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Early-payment discount implied APR: (d/(1-d)) x (365/(net-discount days))</t>
  </si>
  <si>
    <t xml:space="preserve">Classic corporate-finance working-capital formula (the "2/10 net 30" factoid)</t>
  </si>
  <si>
    <t xml:space="preserve">Standard practice</t>
  </si>
  <si>
    <t xml:space="preserve">Assumes the discount is genuinely available and the buyer has the cash to take it -- otherwise this is a hypothetical cost, not cash actually at risk</t>
  </si>
  <si>
    <t xml:space="preserve">Reverse factoring priced off the buyer's credit rating, not the supplier's</t>
  </si>
  <si>
    <t xml:space="preserve">Standard supply-chain-finance program mechanics (Taulia, PrimeRevenue, C2FO and similar platforms)</t>
  </si>
  <si>
    <t xml:space="preserve">Requires the buyer to sponsor/anchor the program -- not available to a supplier unilaterally the way standalone factoring is</t>
  </si>
  <si>
    <t xml:space="preserve">Cash conversion cycle (DSO+DIO-DPO)</t>
  </si>
  <si>
    <t xml:space="preserve">Standard working-capital-cycle definition</t>
  </si>
  <si>
    <t xml:space="preserve">Uses average balance-sheet figures, not a true days-weighted transaction-level calculation</t>
  </si>
  <si>
    <t xml:space="preserve">Financing-cost-only channel comparison</t>
  </si>
  <si>
    <t xml:space="preserve">This model's own explicit framing</t>
  </si>
  <si>
    <t xml:space="preserve">Modeling choice, stated directly on the sheet</t>
  </si>
  <si>
    <t xml:space="preserve">Deliberately ignores speed, collateral/covenant burden, and credit-risk transfer differences between channels -- noted directly rather than silently assumed away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</si>
  <si>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</si>
  <si>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</si>
  <si>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</si>
  <si>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</si>
  <si>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</si>
  <si>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2/10 net 30 reproduces the commonly cited ~37% APR benchmark</t>
  </si>
  <si>
    <t xml:space="preserve">TRUE at the default 2/10 net 30 terms -- confirms the formula reproduces the textbook figure, not just internally consistent arithmetic</t>
  </si>
  <si>
    <t xml:space="preserve">SCF is cheaper than the supplier's own standalone factoring whenever the buyer's credit is genuinely stronger</t>
  </si>
  <si>
    <t xml:space="preserve">TRUE -- the entire premise of reverse factoring only holds when the buyer's rate really is lower</t>
  </si>
  <si>
    <t xml:space="preserve">Cheapest-channel comparison never declares a winner on partial data</t>
  </si>
  <si>
    <t xml:space="preserve">TRUE</t>
  </si>
  <si>
    <t xml:space="preserve">LC total cost ties: issuance+confirmation fee x face x (tenor/365) = annualized cost x face x (tenor/365)</t>
  </si>
  <si>
    <t xml:space="preserve">0 (exact) once LC inputs are populated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</si>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</sst>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"/>
    <numFmt numFmtId="167" formatCode="0.0%;\(0.0%\);\-"/>
    <numFmt numFmtId="168" formatCode="#,##0;\(#,##0\);\-"/>
    <numFmt numFmtId="169" formatCode="0.00%;\(0.00%\);\-"/>
    <numFmt numFmtId="170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9</v>
      </c>
    </row>
    <row r="4" customFormat="false" ht="15" hidden="false" customHeight="false" outlineLevel="0" collapsed="false">
      <c r="B4" s="5" t="s">
        <v>10</v>
      </c>
    </row>
    <row r="5" customFormat="false" ht="15" hidden="false" customHeight="false" outlineLevel="0" collapsed="false">
      <c r="B5" s="6" t="s">
        <v>11</v>
      </c>
      <c r="C5" s="7" t="n">
        <v>0</v>
      </c>
    </row>
    <row r="6" customFormat="false" ht="15" hidden="false" customHeight="false" outlineLevel="0" collapsed="false">
      <c r="B6" s="6" t="s">
        <v>12</v>
      </c>
      <c r="C6" s="7" t="n">
        <v>0</v>
      </c>
    </row>
    <row r="7" customFormat="false" ht="15" hidden="false" customHeight="false" outlineLevel="0" collapsed="false">
      <c r="B7" s="6" t="s">
        <v>13</v>
      </c>
      <c r="C7" s="7" t="n">
        <v>0</v>
      </c>
    </row>
    <row r="8" customFormat="false" ht="15" hidden="false" customHeight="false" outlineLevel="0" collapsed="false">
      <c r="B8" s="6" t="s">
        <v>14</v>
      </c>
      <c r="C8" s="7" t="n">
        <v>0</v>
      </c>
    </row>
    <row r="9" customFormat="false" ht="15" hidden="false" customHeight="false" outlineLevel="0" collapsed="false">
      <c r="B9" s="6" t="s">
        <v>15</v>
      </c>
      <c r="C9" s="7" t="n">
        <v>0</v>
      </c>
    </row>
    <row r="11" customFormat="false" ht="15" hidden="false" customHeight="false" outlineLevel="0" collapsed="false">
      <c r="B11" s="5" t="s">
        <v>16</v>
      </c>
    </row>
    <row r="12" customFormat="false" ht="15" hidden="false" customHeight="false" outlineLevel="0" collapsed="false">
      <c r="B12" s="1" t="s">
        <v>17</v>
      </c>
      <c r="C12" s="8" t="str">
        <f aca="false">IFERROR(C7/C5*365,"-")</f>
        <v>-</v>
      </c>
    </row>
    <row r="13" customFormat="false" ht="15" hidden="false" customHeight="false" outlineLevel="0" collapsed="false">
      <c r="B13" s="1" t="s">
        <v>18</v>
      </c>
      <c r="C13" s="8" t="str">
        <f aca="false">IFERROR(C8/C6*365,"-")</f>
        <v>-</v>
      </c>
    </row>
    <row r="14" customFormat="false" ht="15" hidden="false" customHeight="false" outlineLevel="0" collapsed="false">
      <c r="B14" s="1" t="s">
        <v>19</v>
      </c>
      <c r="C14" s="8" t="str">
        <f aca="false">IFERROR(C9/C6*365,"-")</f>
        <v>-</v>
      </c>
    </row>
    <row r="15" customFormat="false" ht="15" hidden="false" customHeight="false" outlineLevel="0" collapsed="false">
      <c r="B15" s="1" t="s">
        <v>20</v>
      </c>
      <c r="C15" s="9" t="str">
        <f aca="false">IFERROR(C12+C13-C14,"-")</f>
        <v>-</v>
      </c>
      <c r="D15" s="10" t="s">
        <v>21</v>
      </c>
    </row>
    <row r="16" customFormat="false" ht="15" hidden="false" customHeight="false" outlineLevel="0" collapsed="false">
      <c r="B16" s="1" t="s">
        <v>22</v>
      </c>
      <c r="C16" s="11" t="str">
        <f aca="false">IFERROR(C15/365*C6,"-")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23</v>
      </c>
    </row>
    <row r="4" customFormat="false" ht="15" hidden="false" customHeight="false" outlineLevel="0" collapsed="false">
      <c r="B4" s="5" t="s">
        <v>24</v>
      </c>
    </row>
    <row r="5" customFormat="false" ht="15" hidden="false" customHeight="false" outlineLevel="0" collapsed="false">
      <c r="B5" s="6" t="s">
        <v>25</v>
      </c>
      <c r="C5" s="7" t="n">
        <v>0</v>
      </c>
    </row>
    <row r="6" customFormat="false" ht="15" hidden="false" customHeight="false" outlineLevel="0" collapsed="false">
      <c r="B6" s="6" t="s">
        <v>26</v>
      </c>
      <c r="C6" s="12" t="n">
        <v>0.015</v>
      </c>
    </row>
    <row r="7" customFormat="false" ht="15" hidden="false" customHeight="false" outlineLevel="0" collapsed="false">
      <c r="B7" s="6" t="s">
        <v>27</v>
      </c>
      <c r="C7" s="12" t="n">
        <v>0.01</v>
      </c>
    </row>
    <row r="8" customFormat="false" ht="15" hidden="false" customHeight="false" outlineLevel="0" collapsed="false">
      <c r="B8" s="6" t="s">
        <v>28</v>
      </c>
      <c r="C8" s="13" t="n">
        <v>90</v>
      </c>
    </row>
    <row r="9" customFormat="false" ht="15" hidden="false" customHeight="false" outlineLevel="0" collapsed="false">
      <c r="B9" s="1" t="s">
        <v>29</v>
      </c>
      <c r="C9" s="14" t="n">
        <f aca="false">C5*(C6+C7)*(C8/365)</f>
        <v>0</v>
      </c>
    </row>
    <row r="10" customFormat="false" ht="15" hidden="false" customHeight="false" outlineLevel="0" collapsed="false">
      <c r="B10" s="1" t="s">
        <v>30</v>
      </c>
      <c r="C10" s="15" t="str">
        <f aca="false">IFERROR(C9/C5/(C8/365),"-")</f>
        <v>-</v>
      </c>
    </row>
    <row r="13" customFormat="false" ht="15" hidden="false" customHeight="false" outlineLevel="0" collapsed="false">
      <c r="B13" s="5" t="s">
        <v>31</v>
      </c>
    </row>
    <row r="14" customFormat="false" ht="15" hidden="false" customHeight="false" outlineLevel="0" collapsed="false">
      <c r="B14" s="6" t="s">
        <v>32</v>
      </c>
      <c r="C14" s="7" t="n">
        <v>0</v>
      </c>
    </row>
    <row r="15" customFormat="false" ht="15" hidden="false" customHeight="false" outlineLevel="0" collapsed="false">
      <c r="B15" s="6" t="s">
        <v>33</v>
      </c>
      <c r="C15" s="12" t="n">
        <v>0.85</v>
      </c>
    </row>
    <row r="16" customFormat="false" ht="15" hidden="false" customHeight="false" outlineLevel="0" collapsed="false">
      <c r="B16" s="6" t="s">
        <v>34</v>
      </c>
      <c r="C16" s="12" t="n">
        <v>0.02</v>
      </c>
    </row>
    <row r="17" customFormat="false" ht="15" hidden="false" customHeight="false" outlineLevel="0" collapsed="false">
      <c r="B17" s="6" t="s">
        <v>35</v>
      </c>
      <c r="C17" s="13" t="n">
        <v>60</v>
      </c>
    </row>
    <row r="18" customFormat="false" ht="15" hidden="false" customHeight="false" outlineLevel="0" collapsed="false">
      <c r="B18" s="1" t="s">
        <v>36</v>
      </c>
      <c r="C18" s="11" t="n">
        <f aca="false">C14*C15</f>
        <v>0</v>
      </c>
    </row>
    <row r="19" customFormat="false" ht="15" hidden="false" customHeight="false" outlineLevel="0" collapsed="false">
      <c r="B19" s="1" t="s">
        <v>37</v>
      </c>
      <c r="C19" s="11" t="n">
        <f aca="false">C14*C16</f>
        <v>0</v>
      </c>
    </row>
    <row r="20" customFormat="false" ht="15" hidden="false" customHeight="false" outlineLevel="0" collapsed="false">
      <c r="B20" s="1" t="s">
        <v>38</v>
      </c>
      <c r="C20" s="11" t="n">
        <f aca="false">C14-C19</f>
        <v>0</v>
      </c>
    </row>
    <row r="21" customFormat="false" ht="15" hidden="false" customHeight="false" outlineLevel="0" collapsed="false">
      <c r="B21" s="1" t="s">
        <v>39</v>
      </c>
      <c r="C21" s="16" t="n">
        <f aca="false">IFERROR(C16/(C17/365),"-")</f>
        <v>0.121666666666667</v>
      </c>
      <c r="D21" s="10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41</v>
      </c>
    </row>
    <row r="3" customFormat="false" ht="15" hidden="false" customHeight="false" outlineLevel="0" collapsed="false">
      <c r="B3" s="10" t="s">
        <v>42</v>
      </c>
    </row>
    <row r="5" customFormat="false" ht="15" hidden="false" customHeight="false" outlineLevel="0" collapsed="false">
      <c r="B5" s="5" t="s">
        <v>43</v>
      </c>
    </row>
    <row r="6" customFormat="false" ht="15" hidden="false" customHeight="false" outlineLevel="0" collapsed="false">
      <c r="B6" s="1" t="s">
        <v>44</v>
      </c>
      <c r="C6" s="17" t="n">
        <v>0.02</v>
      </c>
    </row>
    <row r="7" customFormat="false" ht="15" hidden="false" customHeight="false" outlineLevel="0" collapsed="false">
      <c r="B7" s="1" t="s">
        <v>45</v>
      </c>
      <c r="C7" s="13" t="n">
        <v>10</v>
      </c>
    </row>
    <row r="8" customFormat="false" ht="15" hidden="false" customHeight="false" outlineLevel="0" collapsed="false">
      <c r="B8" s="1" t="s">
        <v>46</v>
      </c>
      <c r="C8" s="13" t="n">
        <v>30</v>
      </c>
    </row>
    <row r="9" customFormat="false" ht="15" hidden="false" customHeight="false" outlineLevel="0" collapsed="false">
      <c r="B9" s="1" t="s">
        <v>47</v>
      </c>
      <c r="C9" s="18" t="n">
        <f aca="false">IFERROR((C6/(1-C6))*(360/(C8-C7)),"-")</f>
        <v>0.36734693877551</v>
      </c>
      <c r="D9" s="10" t="s">
        <v>48</v>
      </c>
    </row>
    <row r="11" customFormat="false" ht="15" hidden="false" customHeight="false" outlineLevel="0" collapsed="false">
      <c r="B11" s="5" t="s">
        <v>49</v>
      </c>
    </row>
    <row r="12" customFormat="false" ht="15" hidden="false" customHeight="false" outlineLevel="0" collapsed="false">
      <c r="B12" s="1" t="s">
        <v>32</v>
      </c>
      <c r="C12" s="7" t="n">
        <v>0</v>
      </c>
    </row>
    <row r="13" customFormat="false" ht="15" hidden="false" customHeight="false" outlineLevel="0" collapsed="false">
      <c r="B13" s="1" t="s">
        <v>50</v>
      </c>
      <c r="C13" s="17" t="n">
        <v>0.045</v>
      </c>
    </row>
    <row r="14" customFormat="false" ht="15" hidden="false" customHeight="false" outlineLevel="0" collapsed="false">
      <c r="B14" s="1" t="s">
        <v>51</v>
      </c>
      <c r="C14" s="13" t="n">
        <v>60</v>
      </c>
    </row>
    <row r="15" customFormat="false" ht="15" hidden="false" customHeight="false" outlineLevel="0" collapsed="false">
      <c r="B15" s="1" t="s">
        <v>52</v>
      </c>
      <c r="C15" s="11" t="n">
        <f aca="false">C12*C13*(C14/365)</f>
        <v>0</v>
      </c>
    </row>
    <row r="16" customFormat="false" ht="15" hidden="false" customHeight="false" outlineLevel="0" collapsed="false">
      <c r="B16" s="1" t="s">
        <v>53</v>
      </c>
      <c r="C16" s="19" t="n">
        <f aca="false">C13</f>
        <v>0.045</v>
      </c>
    </row>
    <row r="17" customFormat="false" ht="15" hidden="false" customHeight="false" outlineLevel="0" collapsed="false">
      <c r="B17" s="1" t="s">
        <v>54</v>
      </c>
      <c r="C17" s="20" t="n">
        <f aca="false">'LC &amp; Factoring Cost'!C21</f>
        <v>0.121666666666667</v>
      </c>
    </row>
    <row r="18" customFormat="false" ht="15" hidden="false" customHeight="false" outlineLevel="0" collapsed="false">
      <c r="B18" s="1" t="s">
        <v>55</v>
      </c>
      <c r="C18" s="19" t="n">
        <f aca="false">IFERROR(C17-C16,"-")</f>
        <v>0.0766666666666667</v>
      </c>
      <c r="D18" s="10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57</v>
      </c>
    </row>
    <row r="4" customFormat="false" ht="15" hidden="false" customHeight="false" outlineLevel="0" collapsed="false">
      <c r="B4" s="5" t="s">
        <v>58</v>
      </c>
    </row>
    <row r="5" customFormat="false" ht="15" hidden="false" customHeight="false" outlineLevel="0" collapsed="false">
      <c r="B5" s="6" t="s">
        <v>59</v>
      </c>
      <c r="C5" s="7" t="n">
        <v>0</v>
      </c>
    </row>
    <row r="6" customFormat="false" ht="15" hidden="false" customHeight="false" outlineLevel="0" collapsed="false">
      <c r="B6" s="6" t="s">
        <v>60</v>
      </c>
      <c r="C6" s="17" t="n">
        <v>0.08</v>
      </c>
    </row>
    <row r="7" customFormat="false" ht="15" hidden="false" customHeight="false" outlineLevel="0" collapsed="false">
      <c r="B7" s="6" t="s">
        <v>61</v>
      </c>
      <c r="C7" s="17" t="n">
        <v>0.005</v>
      </c>
    </row>
    <row r="8" customFormat="false" ht="15" hidden="false" customHeight="false" outlineLevel="0" collapsed="false">
      <c r="B8" s="6" t="s">
        <v>62</v>
      </c>
      <c r="C8" s="7" t="n">
        <v>0</v>
      </c>
    </row>
    <row r="9" customFormat="false" ht="15" hidden="false" customHeight="false" outlineLevel="0" collapsed="false">
      <c r="B9" s="1" t="s">
        <v>63</v>
      </c>
      <c r="C9" s="11" t="n">
        <f aca="false">C5*C6</f>
        <v>0</v>
      </c>
    </row>
    <row r="10" customFormat="false" ht="15" hidden="false" customHeight="false" outlineLevel="0" collapsed="false">
      <c r="B10" s="1" t="s">
        <v>64</v>
      </c>
      <c r="C10" s="11" t="n">
        <f aca="false">C7*C8</f>
        <v>0</v>
      </c>
    </row>
    <row r="11" customFormat="false" ht="15" hidden="false" customHeight="false" outlineLevel="0" collapsed="false">
      <c r="B11" s="1" t="s">
        <v>65</v>
      </c>
      <c r="C11" s="15" t="str">
        <f aca="false">IFERROR((C9+C10)/C5,"-")</f>
        <v>-</v>
      </c>
    </row>
    <row r="13" customFormat="false" ht="15" hidden="false" customHeight="false" outlineLevel="0" collapsed="false">
      <c r="B13" s="5" t="s">
        <v>66</v>
      </c>
    </row>
    <row r="14" customFormat="false" ht="15" hidden="false" customHeight="false" outlineLevel="0" collapsed="false">
      <c r="B14" s="21" t="s">
        <v>67</v>
      </c>
      <c r="C14" s="21" t="s">
        <v>68</v>
      </c>
    </row>
    <row r="15" customFormat="false" ht="15" hidden="false" customHeight="false" outlineLevel="0" collapsed="false">
      <c r="B15" s="1" t="s">
        <v>69</v>
      </c>
      <c r="C15" s="22" t="str">
        <f aca="false">'LC &amp; Factoring Cost'!C10</f>
        <v>-</v>
      </c>
    </row>
    <row r="16" customFormat="false" ht="15" hidden="false" customHeight="false" outlineLevel="0" collapsed="false">
      <c r="B16" s="1" t="s">
        <v>70</v>
      </c>
      <c r="C16" s="22" t="n">
        <f aca="false">'LC &amp; Factoring Cost'!C21</f>
        <v>0.121666666666667</v>
      </c>
    </row>
    <row r="17" customFormat="false" ht="15" hidden="false" customHeight="false" outlineLevel="0" collapsed="false">
      <c r="B17" s="1" t="s">
        <v>71</v>
      </c>
      <c r="C17" s="22" t="str">
        <f aca="false">C11</f>
        <v>-</v>
      </c>
    </row>
    <row r="18" customFormat="false" ht="15" hidden="false" customHeight="false" outlineLevel="0" collapsed="false">
      <c r="B18" s="1" t="s">
        <v>72</v>
      </c>
      <c r="C18" s="22" t="n">
        <f aca="false">'Dynamic Discounting &amp; SCF'!C9</f>
        <v>0.36734693877551</v>
      </c>
    </row>
    <row r="19" customFormat="false" ht="15" hidden="false" customHeight="false" outlineLevel="0" collapsed="false">
      <c r="B19" s="1" t="s">
        <v>73</v>
      </c>
      <c r="C19" s="22" t="n">
        <f aca="false">'Dynamic Discounting &amp; SCF'!C16</f>
        <v>0.045</v>
      </c>
    </row>
    <row r="21" customFormat="false" ht="15" hidden="false" customHeight="false" outlineLevel="0" collapsed="false">
      <c r="B21" s="1" t="s">
        <v>74</v>
      </c>
      <c r="C21" s="23" t="str">
        <f aca="false">IF(COUNT(C15:C19)&lt;5,"-",INDEX(B15:B19,MATCH(MIN(C15:C19),C15:C19,0)))</f>
        <v>-</v>
      </c>
      <c r="D21" s="10" t="s">
        <v>75</v>
      </c>
    </row>
    <row r="22" customFormat="false" ht="15" hidden="false" customHeight="false" outlineLevel="0" collapsed="false">
      <c r="B22" s="1" t="s">
        <v>76</v>
      </c>
      <c r="C22" s="16" t="str">
        <f aca="false">IF(COUNT(C15:C19)&lt;5,"-",MIN(C15:C19))</f>
        <v>-</v>
      </c>
      <c r="D22" s="10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78</v>
      </c>
    </row>
    <row r="3" customFormat="false" ht="15" hidden="false" customHeight="false" outlineLevel="0" collapsed="false">
      <c r="B3" s="10" t="s">
        <v>79</v>
      </c>
    </row>
    <row r="5" customFormat="false" ht="15" hidden="false" customHeight="false" outlineLevel="0" collapsed="false">
      <c r="B5" s="21" t="s">
        <v>80</v>
      </c>
      <c r="C5" s="21" t="s">
        <v>81</v>
      </c>
      <c r="D5" s="21" t="s">
        <v>82</v>
      </c>
      <c r="E5" s="21" t="s">
        <v>83</v>
      </c>
    </row>
    <row r="6" customFormat="false" ht="15" hidden="false" customHeight="false" outlineLevel="0" collapsed="false">
      <c r="B6" s="24" t="s">
        <v>84</v>
      </c>
      <c r="C6" s="24" t="s">
        <v>85</v>
      </c>
      <c r="D6" s="24" t="s">
        <v>86</v>
      </c>
      <c r="E6" s="25" t="s">
        <v>87</v>
      </c>
    </row>
    <row r="7" customFormat="false" ht="15" hidden="false" customHeight="false" outlineLevel="0" collapsed="false">
      <c r="B7" s="24" t="s">
        <v>88</v>
      </c>
      <c r="C7" s="24" t="s">
        <v>89</v>
      </c>
      <c r="D7" s="24" t="s">
        <v>86</v>
      </c>
      <c r="E7" s="25" t="s">
        <v>90</v>
      </c>
    </row>
    <row r="8" customFormat="false" ht="15" hidden="false" customHeight="false" outlineLevel="0" collapsed="false">
      <c r="B8" s="24" t="s">
        <v>91</v>
      </c>
      <c r="C8" s="24" t="s">
        <v>92</v>
      </c>
      <c r="D8" s="24" t="s">
        <v>86</v>
      </c>
      <c r="E8" s="25" t="s">
        <v>93</v>
      </c>
    </row>
    <row r="9" customFormat="false" ht="15" hidden="false" customHeight="false" outlineLevel="0" collapsed="false">
      <c r="B9" s="24" t="s">
        <v>94</v>
      </c>
      <c r="C9" s="24" t="s">
        <v>95</v>
      </c>
      <c r="D9" s="24" t="s">
        <v>96</v>
      </c>
      <c r="E9" s="25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98</v>
      </c>
    </row>
    <row r="3" customFormat="false" ht="15" hidden="false" customHeight="false" outlineLevel="0" collapsed="false">
      <c r="B3" s="10" t="s">
        <v>99</v>
      </c>
    </row>
    <row r="5" customFormat="false" ht="15" hidden="false" customHeight="false" outlineLevel="0" collapsed="false">
      <c r="B5" s="21" t="s">
        <v>100</v>
      </c>
      <c r="C5" s="21" t="s">
        <v>101</v>
      </c>
      <c r="D5" s="21" t="s">
        <v>102</v>
      </c>
    </row>
    <row r="6" customFormat="false" ht="15" hidden="false" customHeight="false" outlineLevel="0" collapsed="false">
      <c r="B6" s="24" t="s">
        <v>103</v>
      </c>
      <c r="C6" s="26" t="b">
        <f aca="false">IF(AND('Dynamic Discounting &amp; SCF'!C6=0.02,'Dynamic Discounting &amp; SCF'!C7=10,'Dynamic Discounting &amp; SCF'!C8=30),ABS('Dynamic Discounting &amp; SCF'!C9-0.3673)&lt;0.001,TRUE())</f>
        <v>1</v>
      </c>
      <c r="D6" s="25" t="s">
        <v>104</v>
      </c>
    </row>
    <row r="7" customFormat="false" ht="15" hidden="false" customHeight="false" outlineLevel="0" collapsed="false">
      <c r="B7" s="24" t="s">
        <v>105</v>
      </c>
      <c r="C7" s="26" t="b">
        <f aca="false">IF('Dynamic Discounting &amp; SCF'!C13&lt;'Dynamic Discounting &amp; SCF'!C17,'Dynamic Discounting &amp; SCF'!C18&gt;0,TRUE())</f>
        <v>1</v>
      </c>
      <c r="D7" s="25" t="s">
        <v>106</v>
      </c>
    </row>
    <row r="8" customFormat="false" ht="15" hidden="false" customHeight="false" outlineLevel="0" collapsed="false">
      <c r="B8" s="24" t="s">
        <v>107</v>
      </c>
      <c r="C8" s="26" t="b">
        <f aca="false">IF(COUNT('Financing Cost Comparison'!C15:C19)&lt;5,'Financing Cost Comparison'!C21="-",TRUE())</f>
        <v>1</v>
      </c>
      <c r="D8" s="25" t="s">
        <v>108</v>
      </c>
    </row>
    <row r="9" customFormat="false" ht="15" hidden="false" customHeight="false" outlineLevel="0" collapsed="false">
      <c r="B9" s="24" t="s">
        <v>109</v>
      </c>
      <c r="C9" s="23" t="str">
        <f aca="false">IFERROR('LC &amp; Factoring Cost'!C9-'LC &amp; Factoring Cost'!C10*'LC &amp; Factoring Cost'!C5*('LC &amp; Factoring Cost'!C8/365),"-")</f>
        <v>-</v>
      </c>
      <c r="D9" s="25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111</v>
      </c>
    </row>
    <row r="4" customFormat="false" ht="15" hidden="false" customHeight="false" outlineLevel="0" collapsed="false">
      <c r="B4" s="21" t="s">
        <v>112</v>
      </c>
      <c r="C4" s="21" t="s">
        <v>113</v>
      </c>
      <c r="D4" s="21" t="s">
        <v>114</v>
      </c>
      <c r="E4" s="21" t="s">
        <v>115</v>
      </c>
      <c r="F4" s="21" t="s">
        <v>116</v>
      </c>
    </row>
    <row r="5" customFormat="false" ht="15" hidden="false" customHeight="false" outlineLevel="0" collapsed="false">
      <c r="B5" s="27"/>
      <c r="C5" s="27"/>
      <c r="D5" s="27"/>
      <c r="E5" s="27"/>
      <c r="F5" s="27"/>
    </row>
    <row r="6" customFormat="false" ht="15" hidden="false" customHeight="false" outlineLevel="0" collapsed="false">
      <c r="B6" s="27"/>
      <c r="C6" s="27"/>
      <c r="D6" s="27"/>
      <c r="E6" s="27"/>
      <c r="F6" s="27"/>
    </row>
    <row r="7" customFormat="false" ht="15" hidden="false" customHeight="false" outlineLevel="0" collapsed="false">
      <c r="B7" s="27"/>
      <c r="C7" s="27"/>
      <c r="D7" s="27"/>
      <c r="E7" s="27"/>
      <c r="F7" s="27"/>
    </row>
    <row r="8" customFormat="false" ht="15" hidden="false" customHeight="false" outlineLevel="0" collapsed="false">
      <c r="B8" s="27"/>
      <c r="C8" s="27"/>
      <c r="D8" s="27"/>
      <c r="E8" s="27"/>
      <c r="F8" s="27"/>
    </row>
    <row r="9" customFormat="false" ht="15" hidden="false" customHeight="false" outlineLevel="0" collapsed="false">
      <c r="B9" s="27"/>
      <c r="C9" s="27"/>
      <c r="D9" s="27"/>
      <c r="E9" s="27"/>
      <c r="F9" s="27"/>
    </row>
    <row r="10" customFormat="false" ht="15" hidden="false" customHeight="false" outlineLevel="0" collapsed="false">
      <c r="B10" s="27"/>
      <c r="C10" s="27"/>
      <c r="D10" s="27"/>
      <c r="E10" s="27"/>
      <c r="F10" s="27"/>
    </row>
    <row r="11" customFormat="false" ht="15" hidden="false" customHeight="false" outlineLevel="0" collapsed="false">
      <c r="B11" s="27"/>
      <c r="C11" s="27"/>
      <c r="D11" s="27"/>
      <c r="E11" s="27"/>
      <c r="F11" s="27"/>
    </row>
    <row r="12" customFormat="false" ht="15" hidden="false" customHeight="false" outlineLevel="0" collapsed="false">
      <c r="B12" s="27"/>
      <c r="C12" s="27"/>
      <c r="D12" s="27"/>
      <c r="E12" s="27"/>
      <c r="F12" s="27"/>
    </row>
    <row r="13" customFormat="false" ht="15" hidden="false" customHeight="false" outlineLevel="0" collapsed="false">
      <c r="B13" s="27"/>
      <c r="C13" s="27"/>
      <c r="D13" s="27"/>
      <c r="E13" s="27"/>
      <c r="F13" s="27"/>
    </row>
    <row r="14" customFormat="false" ht="15" hidden="false" customHeight="false" outlineLevel="0" collapsed="false">
      <c r="B14" s="27"/>
      <c r="C14" s="27"/>
      <c r="D14" s="27"/>
      <c r="E14" s="27"/>
      <c r="F14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2026-08-04T14:51:09Z</dcterms:created>
  <dc:creator>openpyxl</dc:creator>
  <dc:description/>
  <dc:language>en-US</dc:language>
  <cp:lastModifiedBy/>
  <dcterms:modified xsi:type="dcterms:W3CDTF">2026-08-04T14:51:09Z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