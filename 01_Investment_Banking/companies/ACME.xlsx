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S" sheetId="3" state="visible" r:id="rId5"/>
    <sheet name="BS" sheetId="4" state="visible" r:id="rId6"/>
    <sheet name="CF" sheetId="5" state="visible" r:id="rId7"/>
    <sheet name="DCF" sheetId="6" state="visible" r:id="rId8"/>
    <sheet name="Comps" sheetId="7" state="visible" r:id="rId9"/>
    <sheet name="Sensitivity" sheetId="8" state="visible" r:id="rId10"/>
    <sheet name="Refresh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<sst xmlns="http://schemas.openxmlformats.org/spreadsheetml/2006/main" count="196" uniqueCount="138">
  <si>
    <t xml:space="preserve">ACME — Illustrative Demo Instance</t>
  </si>
  <si>
    <t xml:space="preserve">Sector:</t>
  </si>
  <si>
    <t xml:space="preserve">Consumer / Industrials (fictional)</t>
  </si>
  <si>
    <t xml:space="preserve">Coverage started:</t>
  </si>
  <si>
    <t xml:space="preserve">2026-06-01</t>
  </si>
  <si>
    <t xml:space="preserve">Last refreshed:</t>
  </si>
  <si>
    <t xml:space="preserve">2026-08-01</t>
  </si>
  <si>
    <t xml:space="preserve">Next earnings date:</t>
  </si>
  <si>
    <t xml:space="preserve">2026-11-05</t>
  </si>
  <si>
    <t xml:space="preserve">Refresh cadence:</t>
  </si>
  <si>
    <t xml:space="preserve">Weekly</t>
  </si>
  <si>
    <t xml:space="preserve">Thesis (2-3 sentences):</t>
  </si>
  <si>
    <t xml:space="preserve">DEMO INSTANCE — Acme Corp is a fictional company; all figures below are illustrative, not real market data. Built to demonstrate the full 3-statement + DCF linkage and the weekly refresh workflow end to end, not as investment research.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</si>
  <si>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</si>
  <si>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</si>
  <si>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</si>
  <si>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</si>
  <si>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</si>
  <si>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</si>
  <si>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</si>
  <si>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</si>
  <si>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</si>
  <si>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</si>
  <si>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</si>
  <si>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</si>
  <si>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</si>
  <si>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</si>
  <si>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</si>
  <si>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</si>
  <si>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</si>
  <si>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</si>
  <si>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</si>
  <si>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</si>
  <si>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</si>
  <si>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</si>
  <si>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</si>
  <si>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</si>
  <si>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</si>
  <si>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</si>
  <si>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</si>
  <si>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</si>
  <si>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</si>
  <si>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</si>
  <si>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</si>
  <si>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</si>
  <si>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</si>
  <si>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</si>
  <si>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</si>
  <si>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</si>
  <si>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</si>
  <si>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</si>
  <si>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</si>
  <si>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</si>
  <si>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</si>
  <si>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</si>
  <si>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</si>
  <si>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</si>
  <si>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</si>
  <si>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</si>
  <si>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</si>
  <si>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</si>
  <si>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</si>
  <si>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</si>
  <si>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</si>
  <si>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</si>
  <si>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</si>
  <si>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</si>
  <si>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</si>
  <si>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</si>
  <si>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</si>
  <si>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</si>
  <si>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</si>
  <si>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</si>
  <si>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</si>
  <si>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</si>
  <si>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</si>
  <si>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</si>
  <si>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</si>
  <si>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</si>
  <si>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</si>
  <si>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</si>
  <si>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</si>
  <si>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</si>
  <si>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</si>
  <si>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</si>
  <si>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</si>
  <si>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</si>
  <si>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</si>
  <si>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</si>
  <si>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</si>
  <si>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</si>
  <si>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</si>
  <si>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</si>
  <si>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</si>
  <si>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</si>
  <si>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</si>
  <si>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</si>
  <si>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</si>
  <si>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</si>
  <si>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</si>
  <si>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</si>
  <si>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</si>
  <si>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</si>
  <si>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</si>
  <si>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</si>
  <si>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</si>
  <si>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</si>
  <si>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</si>
  <si>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</si>
  <si>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</si>
  <si>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</si>
  <si>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</si>
  <si>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PEER1</t>
  </si>
  <si>
    <t xml:space="preserve">PEER2</t>
  </si>
  <si>
    <t xml:space="preserve">PEER3</t>
  </si>
  <si>
    <t xml:space="preserve">PEER4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</si>
  <si>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</si>
  <si>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</si>
  <si>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</si>
  <si>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</si>
  <si>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</si>
  <si>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</si>
  <si>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</si>
  <si>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</si>
  <si>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</si>
  <si>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</si>
  <si>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</si>
  <si>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Initial build</t>
  </si>
  <si>
    <t xml:space="preserve">Instance created from template; FY0A actuals entered from illustrative source data.</t>
  </si>
  <si>
    <t xml:space="preserve">Self-reviewed against margin assumptions</t>
  </si>
  <si>
    <t xml:space="preserve">2026-07-01</t>
  </si>
  <si>
    <t xml:space="preserve">Monthly review</t>
  </si>
  <si>
    <t xml:space="preserve">No material change to assumptions; rolled Cover 'Last refreshed' date.</t>
  </si>
  <si>
    <t xml:space="preserve">Checked DCF output still in a sane range vs. comps</t>
  </si>
  <si>
    <t xml:space="preserve">Manual review</t>
  </si>
  <si>
    <t xml:space="preserve">Tightened opex% assumption from 25% to 24% on illustrative cost-discipline thesis update.</t>
  </si>
  <si>
    <t xml:space="preserve">Re-verified recalc clean, EPS trend still monotonic</t>
  </si>
  <si>
    <t xml:space="preserve">2026-11-05 (next earnings)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</si>
</sst>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10" customFormat="false" ht="15" hidden="false" customHeight="true" outlineLevel="0" collapsed="false">
      <c r="B10" s="3" t="s">
        <v>11</v>
      </c>
    </row>
    <row r="11" customFormat="false" ht="15" hidden="false" customHeight="true" outlineLevel="0" collapsed="false">
      <c r="B11" s="6" t="s">
        <v>12</v>
      </c>
      <c r="C11" s="6"/>
      <c r="D11" s="6"/>
    </row>
    <row r="12" customFormat="false" ht="15" hidden="false" customHeight="true" outlineLevel="0" collapsed="false">
      <c r="B12" s="6"/>
      <c r="C12" s="6"/>
      <c r="D12" s="6"/>
    </row>
    <row r="13" customFormat="false" ht="15" hidden="false" customHeight="true" outlineLevel="0" collapsed="false">
      <c r="B13" s="6"/>
      <c r="C13" s="6"/>
      <c r="D13" s="6"/>
    </row>
    <row r="14" customFormat="false" ht="15" hidden="false" customHeight="true" outlineLevel="0" collapsed="false">
      <c r="B14" s="6"/>
      <c r="C14" s="6"/>
      <c r="D14" s="6"/>
    </row>
    <row r="16" customFormat="false" ht="15" hidden="false" customHeight="true" outlineLevel="0" collapsed="false">
      <c r="B16" s="3" t="s">
        <v>13</v>
      </c>
    </row>
    <row r="17" customFormat="false" ht="15" hidden="false" customHeight="true" outlineLevel="0" collapsed="false">
      <c r="B17" s="4" t="s">
        <v>14</v>
      </c>
      <c r="C17" s="5" t="s">
        <v>15</v>
      </c>
    </row>
    <row r="18" customFormat="false" ht="15" hidden="false" customHeight="true" outlineLevel="0" collapsed="false">
      <c r="B18" s="5" t="s">
        <v>16</v>
      </c>
      <c r="C18" s="5" t="s">
        <v>17</v>
      </c>
    </row>
    <row r="19" customFormat="false" ht="15" hidden="false" customHeight="true" outlineLevel="0" collapsed="false">
      <c r="B19" s="7" t="s">
        <v>18</v>
      </c>
      <c r="C19" s="5" t="s">
        <v>19</v>
      </c>
    </row>
    <row r="20" customFormat="false" ht="15" hidden="false" customHeight="true" outlineLevel="0" collapsed="false">
      <c r="B20" s="8" t="s">
        <v>20</v>
      </c>
      <c r="C20" s="5" t="s">
        <v>21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7" min="3" style="1" width="14"/>
    <col collapsed="false" customWidth="true" hidden="false" outlineLevel="0" max="8" min="8" style="1" width="40"/>
  </cols>
  <sheetData>
    <row r="2" customFormat="false" ht="19.5" hidden="false" customHeight="true" outlineLevel="0" collapsed="false">
      <c r="B2" s="2" t="s">
        <v>22</v>
      </c>
    </row>
    <row r="4" customFormat="false" ht="15" hidden="false" customHeight="true" outlineLevel="0" collapsed="false">
      <c r="A4" s="9"/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</row>
    <row r="5" customFormat="false" ht="15" hidden="false" customHeight="true" outlineLevel="0" collapsed="false">
      <c r="B5" s="5" t="s">
        <v>30</v>
      </c>
      <c r="C5" s="10" t="n">
        <v>0.08</v>
      </c>
      <c r="D5" s="10" t="n">
        <v>0.07</v>
      </c>
      <c r="E5" s="10" t="n">
        <v>0.06</v>
      </c>
      <c r="F5" s="10" t="n">
        <v>0.06</v>
      </c>
      <c r="G5" s="10" t="n">
        <v>0.05</v>
      </c>
      <c r="H5" s="11" t="s">
        <v>31</v>
      </c>
    </row>
    <row r="6" customFormat="false" ht="15" hidden="false" customHeight="true" outlineLevel="0" collapsed="false">
      <c r="B6" s="5" t="s">
        <v>32</v>
      </c>
      <c r="C6" s="10" t="n">
        <v>0.58</v>
      </c>
      <c r="D6" s="10" t="n">
        <v>0.58</v>
      </c>
      <c r="E6" s="10" t="n">
        <v>0.58</v>
      </c>
      <c r="F6" s="10" t="n">
        <v>0.58</v>
      </c>
      <c r="G6" s="10" t="n">
        <v>0.58</v>
      </c>
      <c r="H6" s="11" t="s">
        <v>31</v>
      </c>
    </row>
    <row r="7" customFormat="false" ht="15" hidden="false" customHeight="true" outlineLevel="0" collapsed="false">
      <c r="B7" s="5" t="s">
        <v>33</v>
      </c>
      <c r="C7" s="10" t="n">
        <v>0.24</v>
      </c>
      <c r="D7" s="10" t="n">
        <v>0.24</v>
      </c>
      <c r="E7" s="10" t="n">
        <v>0.24</v>
      </c>
      <c r="F7" s="10" t="n">
        <v>0.24</v>
      </c>
      <c r="G7" s="10" t="n">
        <v>0.24</v>
      </c>
      <c r="H7" s="11" t="s">
        <v>31</v>
      </c>
    </row>
    <row r="8" customFormat="false" ht="15" hidden="false" customHeight="true" outlineLevel="0" collapsed="false">
      <c r="B8" s="5" t="s">
        <v>34</v>
      </c>
      <c r="C8" s="10" t="n">
        <v>0.25</v>
      </c>
      <c r="D8" s="10" t="n">
        <v>0.25</v>
      </c>
      <c r="E8" s="10" t="n">
        <v>0.25</v>
      </c>
      <c r="F8" s="10" t="n">
        <v>0.25</v>
      </c>
      <c r="G8" s="10" t="n">
        <v>0.25</v>
      </c>
      <c r="H8" s="11" t="s">
        <v>31</v>
      </c>
    </row>
    <row r="9" customFormat="false" ht="15" hidden="false" customHeight="true" outlineLevel="0" collapsed="false">
      <c r="B9" s="5" t="s">
        <v>35</v>
      </c>
      <c r="C9" s="12" t="n">
        <v>0.75</v>
      </c>
      <c r="D9" s="12" t="n">
        <v>0.75</v>
      </c>
      <c r="E9" s="12" t="n">
        <v>0.75</v>
      </c>
      <c r="F9" s="12" t="n">
        <v>0.75</v>
      </c>
      <c r="G9" s="12" t="n">
        <v>0.75</v>
      </c>
      <c r="H9" s="11" t="s">
        <v>31</v>
      </c>
    </row>
    <row r="10" customFormat="false" ht="15" hidden="false" customHeight="true" outlineLevel="0" collapsed="false">
      <c r="B10" s="5" t="s">
        <v>36</v>
      </c>
      <c r="C10" s="12" t="n">
        <v>0.045</v>
      </c>
      <c r="D10" s="12" t="n">
        <v>0.045</v>
      </c>
      <c r="E10" s="12" t="n">
        <v>0.045</v>
      </c>
      <c r="F10" s="12" t="n">
        <v>0.045</v>
      </c>
      <c r="G10" s="12" t="n">
        <v>0.045</v>
      </c>
      <c r="H10" s="11" t="s">
        <v>31</v>
      </c>
    </row>
    <row r="11" customFormat="false" ht="15" hidden="false" customHeight="true" outlineLevel="0" collapsed="false">
      <c r="B11" s="5" t="s">
        <v>37</v>
      </c>
      <c r="C11" s="12" t="n">
        <v>0.02</v>
      </c>
      <c r="D11" s="12" t="n">
        <v>0.02</v>
      </c>
      <c r="E11" s="12" t="n">
        <v>0.02</v>
      </c>
      <c r="F11" s="12" t="n">
        <v>0.02</v>
      </c>
      <c r="G11" s="12" t="n">
        <v>0.02</v>
      </c>
      <c r="H11" s="11" t="s">
        <v>31</v>
      </c>
    </row>
    <row r="12" customFormat="false" ht="15" hidden="false" customHeight="true" outlineLevel="0" collapsed="false">
      <c r="B12" s="5" t="s">
        <v>38</v>
      </c>
      <c r="C12" s="13" t="n">
        <v>100</v>
      </c>
      <c r="D12" s="13" t="n">
        <v>100</v>
      </c>
      <c r="E12" s="13" t="n">
        <v>100</v>
      </c>
      <c r="F12" s="13" t="n">
        <v>100</v>
      </c>
      <c r="G12" s="13" t="n">
        <v>100</v>
      </c>
      <c r="H12" s="11" t="s">
        <v>31</v>
      </c>
    </row>
    <row r="13" customFormat="false" ht="15" hidden="false" customHeight="true" outlineLevel="0" collapsed="false">
      <c r="B13" s="5" t="s">
        <v>39</v>
      </c>
      <c r="C13" s="10" t="n">
        <v>0.095</v>
      </c>
      <c r="D13" s="10" t="n">
        <v>0.095</v>
      </c>
      <c r="E13" s="10" t="n">
        <v>0.095</v>
      </c>
      <c r="F13" s="10" t="n">
        <v>0.095</v>
      </c>
      <c r="G13" s="10" t="n">
        <v>0.095</v>
      </c>
      <c r="H13" s="11" t="s">
        <v>31</v>
      </c>
    </row>
    <row r="14" customFormat="false" ht="15" hidden="false" customHeight="true" outlineLevel="0" collapsed="false">
      <c r="B14" s="5" t="s">
        <v>40</v>
      </c>
      <c r="C14" s="10" t="n">
        <v>0.025</v>
      </c>
      <c r="D14" s="10" t="n">
        <v>0.025</v>
      </c>
      <c r="E14" s="10" t="n">
        <v>0.025</v>
      </c>
      <c r="F14" s="10" t="n">
        <v>0.025</v>
      </c>
      <c r="G14" s="10" t="n">
        <v>0.025</v>
      </c>
      <c r="H14" s="1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9" min="3" style="1" width="13"/>
  </cols>
  <sheetData>
    <row r="2" customFormat="false" ht="19.5" hidden="false" customHeight="true" outlineLevel="0" collapsed="false">
      <c r="B2" s="2" t="s">
        <v>41</v>
      </c>
    </row>
    <row r="4" customFormat="false" ht="15" hidden="false" customHeight="true" outlineLevel="0" collapsed="false">
      <c r="A4" s="9"/>
      <c r="B4" s="9" t="s">
        <v>42</v>
      </c>
      <c r="C4" s="9" t="s">
        <v>43</v>
      </c>
      <c r="D4" s="9" t="s">
        <v>44</v>
      </c>
      <c r="E4" s="9" t="s">
        <v>45</v>
      </c>
      <c r="F4" s="9" t="s">
        <v>46</v>
      </c>
      <c r="G4" s="9" t="s">
        <v>47</v>
      </c>
      <c r="H4" s="9" t="s">
        <v>48</v>
      </c>
      <c r="I4" s="9" t="s">
        <v>49</v>
      </c>
    </row>
    <row r="5" customFormat="false" ht="15" hidden="false" customHeight="true" outlineLevel="0" collapsed="false">
      <c r="B5" s="3" t="s">
        <v>50</v>
      </c>
      <c r="C5" s="14" t="n">
        <v>850</v>
      </c>
      <c r="D5" s="14" t="n">
        <v>920</v>
      </c>
      <c r="E5" s="14" t="n">
        <v>1000</v>
      </c>
      <c r="F5" s="14" t="n">
        <f aca="false">E5*(1+Assumptions!C5)</f>
        <v>1080</v>
      </c>
      <c r="G5" s="14" t="n">
        <f aca="false">F5*(1+Assumptions!D5)</f>
        <v>1155.6</v>
      </c>
      <c r="H5" s="14" t="n">
        <f aca="false">G5*(1+Assumptions!E5)</f>
        <v>1224.936</v>
      </c>
      <c r="I5" s="14" t="n">
        <f aca="false">H5*(1+Assumptions!F5)</f>
        <v>1298.43216</v>
      </c>
    </row>
    <row r="6" customFormat="false" ht="15" hidden="false" customHeight="true" outlineLevel="0" collapsed="false">
      <c r="B6" s="5" t="s">
        <v>30</v>
      </c>
      <c r="C6" s="15"/>
      <c r="D6" s="15" t="n">
        <f aca="false">IFERROR(D5/C5-1,"-")</f>
        <v>0.0823529411764705</v>
      </c>
      <c r="E6" s="15" t="n">
        <f aca="false">IFERROR(E5/D5-1,"-")</f>
        <v>0.0869565217391304</v>
      </c>
      <c r="F6" s="15" t="n">
        <f aca="false">IFERROR(F5/E5-1,"-")</f>
        <v>0.0800000000000001</v>
      </c>
      <c r="G6" s="15" t="n">
        <f aca="false">IFERROR(G5/F5-1,"-")</f>
        <v>0.0700000000000001</v>
      </c>
      <c r="H6" s="15" t="n">
        <f aca="false">IFERROR(H5/G5-1,"-")</f>
        <v>0.0600000000000001</v>
      </c>
      <c r="I6" s="15" t="n">
        <f aca="false">IFERROR(I5/H5-1,"-")</f>
        <v>0.0600000000000001</v>
      </c>
    </row>
    <row r="7" customFormat="false" ht="15" hidden="false" customHeight="true" outlineLevel="0" collapsed="false">
      <c r="B7" s="5" t="s">
        <v>51</v>
      </c>
      <c r="C7" s="14"/>
      <c r="D7" s="14"/>
      <c r="E7" s="14" t="n">
        <v>420</v>
      </c>
      <c r="F7" s="14" t="n">
        <f aca="false">F5*(1-Assumptions!C6)</f>
        <v>453.6</v>
      </c>
      <c r="G7" s="14" t="n">
        <f aca="false">G5*(1-Assumptions!D6)</f>
        <v>485.352</v>
      </c>
      <c r="H7" s="14" t="n">
        <f aca="false">H5*(1-Assumptions!E6)</f>
        <v>514.47312</v>
      </c>
      <c r="I7" s="14" t="n">
        <f aca="false">I5*(1-Assumptions!F6)</f>
        <v>545.3415072</v>
      </c>
    </row>
    <row r="8" customFormat="false" ht="15" hidden="false" customHeight="true" outlineLevel="0" collapsed="false">
      <c r="B8" s="3" t="s">
        <v>52</v>
      </c>
      <c r="C8" s="14"/>
      <c r="D8" s="14" t="n">
        <f aca="false">D5-D7</f>
        <v>920</v>
      </c>
      <c r="E8" s="14" t="n">
        <f aca="false">E5-E7</f>
        <v>580</v>
      </c>
      <c r="F8" s="14" t="n">
        <f aca="false">F5-F7</f>
        <v>626.4</v>
      </c>
      <c r="G8" s="14" t="n">
        <f aca="false">G5-G7</f>
        <v>670.248</v>
      </c>
      <c r="H8" s="14" t="n">
        <f aca="false">H5-H7</f>
        <v>710.46288</v>
      </c>
      <c r="I8" s="14" t="n">
        <f aca="false">I5-I7</f>
        <v>753.0906528</v>
      </c>
    </row>
    <row r="9" customFormat="false" ht="15" hidden="false" customHeight="true" outlineLevel="0" collapsed="false">
      <c r="B9" s="5" t="s">
        <v>32</v>
      </c>
      <c r="C9" s="15"/>
      <c r="D9" s="15" t="n">
        <f aca="false">IFERROR(D8/D5,"-")</f>
        <v>1</v>
      </c>
      <c r="E9" s="15" t="n">
        <f aca="false">IFERROR(E8/E5,"-")</f>
        <v>0.58</v>
      </c>
      <c r="F9" s="15" t="n">
        <f aca="false">IFERROR(F8/F5,"-")</f>
        <v>0.58</v>
      </c>
      <c r="G9" s="15" t="n">
        <f aca="false">IFERROR(G8/G5,"-")</f>
        <v>0.58</v>
      </c>
      <c r="H9" s="15" t="n">
        <f aca="false">IFERROR(H8/H5,"-")</f>
        <v>0.58</v>
      </c>
      <c r="I9" s="15" t="n">
        <f aca="false">IFERROR(I8/I5,"-")</f>
        <v>0.58</v>
      </c>
    </row>
    <row r="10" customFormat="false" ht="15" hidden="false" customHeight="true" outlineLevel="0" collapsed="false">
      <c r="B10" s="5" t="s">
        <v>53</v>
      </c>
      <c r="C10" s="14"/>
      <c r="D10" s="14"/>
      <c r="E10" s="14" t="n">
        <v>240</v>
      </c>
      <c r="F10" s="14" t="n">
        <f aca="false">F5*Assumptions!C7</f>
        <v>259.2</v>
      </c>
      <c r="G10" s="14" t="n">
        <f aca="false">G5*Assumptions!D7</f>
        <v>277.344</v>
      </c>
      <c r="H10" s="14" t="n">
        <f aca="false">H5*Assumptions!E7</f>
        <v>293.98464</v>
      </c>
      <c r="I10" s="14" t="n">
        <f aca="false">I5*Assumptions!F7</f>
        <v>311.6237184</v>
      </c>
    </row>
    <row r="11" customFormat="false" ht="15" hidden="false" customHeight="true" outlineLevel="0" collapsed="false">
      <c r="B11" s="3" t="s">
        <v>54</v>
      </c>
      <c r="C11" s="14"/>
      <c r="D11" s="14"/>
      <c r="E11" s="14" t="n">
        <f aca="false">E8-E10</f>
        <v>340</v>
      </c>
      <c r="F11" s="14" t="n">
        <f aca="false">F8-F10</f>
        <v>367.2</v>
      </c>
      <c r="G11" s="14" t="n">
        <f aca="false">G8-G10</f>
        <v>392.904</v>
      </c>
      <c r="H11" s="14" t="n">
        <f aca="false">H8-H10</f>
        <v>416.47824</v>
      </c>
      <c r="I11" s="14" t="n">
        <f aca="false">I8-I10</f>
        <v>441.4669344</v>
      </c>
    </row>
    <row r="12" customFormat="false" ht="15" hidden="false" customHeight="true" outlineLevel="0" collapsed="false">
      <c r="B12" s="5" t="s">
        <v>55</v>
      </c>
      <c r="C12" s="15"/>
      <c r="D12" s="15"/>
      <c r="E12" s="15"/>
      <c r="F12" s="15" t="n">
        <f aca="false">IFERROR(F11/F5,"-")</f>
        <v>0.34</v>
      </c>
      <c r="G12" s="15" t="n">
        <f aca="false">IFERROR(G11/G5,"-")</f>
        <v>0.34</v>
      </c>
      <c r="H12" s="15" t="n">
        <f aca="false">IFERROR(H11/H5,"-")</f>
        <v>0.34</v>
      </c>
      <c r="I12" s="15" t="n">
        <f aca="false">IFERROR(I11/I5,"-")</f>
        <v>0.34</v>
      </c>
    </row>
    <row r="13" customFormat="false" ht="15" hidden="false" customHeight="true" outlineLevel="0" collapsed="false">
      <c r="B13" s="5" t="s">
        <v>56</v>
      </c>
      <c r="C13" s="14"/>
      <c r="D13" s="14"/>
      <c r="E13" s="14" t="n">
        <v>45</v>
      </c>
      <c r="F13" s="14" t="n">
        <f aca="false">F5*Assumptions!C10*Assumptions!C9</f>
        <v>36.45</v>
      </c>
      <c r="G13" s="14" t="n">
        <f aca="false">G5*Assumptions!D10*Assumptions!D9</f>
        <v>39.0015</v>
      </c>
      <c r="H13" s="14" t="n">
        <f aca="false">H5*Assumptions!E10*Assumptions!E9</f>
        <v>41.34159</v>
      </c>
      <c r="I13" s="14" t="n">
        <f aca="false">I5*Assumptions!F10*Assumptions!F9</f>
        <v>43.8220854</v>
      </c>
    </row>
    <row r="14" customFormat="false" ht="15" hidden="false" customHeight="true" outlineLevel="0" collapsed="false">
      <c r="B14" s="3" t="s">
        <v>57</v>
      </c>
      <c r="C14" s="14"/>
      <c r="D14" s="14"/>
      <c r="E14" s="14" t="n">
        <f aca="false">E11-E13</f>
        <v>295</v>
      </c>
      <c r="F14" s="14" t="n">
        <f aca="false">F11-F13</f>
        <v>330.75</v>
      </c>
      <c r="G14" s="14" t="n">
        <f aca="false">G11-G13</f>
        <v>353.9025</v>
      </c>
      <c r="H14" s="14" t="n">
        <f aca="false">H11-H13</f>
        <v>375.13665</v>
      </c>
      <c r="I14" s="14" t="n">
        <f aca="false">I11-I13</f>
        <v>397.644849</v>
      </c>
    </row>
    <row r="15" customFormat="false" ht="15" hidden="false" customHeight="true" outlineLevel="0" collapsed="false">
      <c r="B15" s="5" t="s">
        <v>58</v>
      </c>
      <c r="C15" s="14"/>
      <c r="D15" s="14"/>
      <c r="E15" s="14" t="n">
        <v>20</v>
      </c>
      <c r="F15" s="14" t="n">
        <f aca="false">$E$15</f>
        <v>20</v>
      </c>
      <c r="G15" s="14" t="n">
        <f aca="false">$E$15</f>
        <v>20</v>
      </c>
      <c r="H15" s="14" t="n">
        <f aca="false">$E$15</f>
        <v>20</v>
      </c>
      <c r="I15" s="14" t="n">
        <f aca="false">$E$15</f>
        <v>20</v>
      </c>
    </row>
    <row r="16" customFormat="false" ht="15" hidden="false" customHeight="true" outlineLevel="0" collapsed="false">
      <c r="B16" s="5" t="s">
        <v>59</v>
      </c>
      <c r="C16" s="14"/>
      <c r="D16" s="14"/>
      <c r="E16" s="14" t="n">
        <f aca="false">E14-E15</f>
        <v>275</v>
      </c>
      <c r="F16" s="14" t="n">
        <f aca="false">F14-F15</f>
        <v>310.75</v>
      </c>
      <c r="G16" s="14" t="n">
        <f aca="false">G14-G15</f>
        <v>333.9025</v>
      </c>
      <c r="H16" s="14" t="n">
        <f aca="false">H14-H15</f>
        <v>355.13665</v>
      </c>
      <c r="I16" s="14" t="n">
        <f aca="false">I14-I15</f>
        <v>377.644849</v>
      </c>
    </row>
    <row r="17" customFormat="false" ht="15" hidden="false" customHeight="true" outlineLevel="0" collapsed="false">
      <c r="B17" s="5" t="s">
        <v>60</v>
      </c>
      <c r="C17" s="14"/>
      <c r="D17" s="14"/>
      <c r="E17" s="14" t="n">
        <f aca="false">E16*0.25</f>
        <v>68.75</v>
      </c>
      <c r="F17" s="14" t="n">
        <f aca="false">F16*Assumptions!C8</f>
        <v>77.6875</v>
      </c>
      <c r="G17" s="14" t="n">
        <f aca="false">G16*Assumptions!D8</f>
        <v>83.475625</v>
      </c>
      <c r="H17" s="14" t="n">
        <f aca="false">H16*Assumptions!E8</f>
        <v>88.7841625</v>
      </c>
      <c r="I17" s="14" t="n">
        <f aca="false">I16*Assumptions!F8</f>
        <v>94.41121225</v>
      </c>
    </row>
    <row r="18" customFormat="false" ht="15" hidden="false" customHeight="true" outlineLevel="0" collapsed="false">
      <c r="B18" s="3" t="s">
        <v>61</v>
      </c>
      <c r="C18" s="14"/>
      <c r="D18" s="14"/>
      <c r="E18" s="14" t="n">
        <f aca="false">E16-E17</f>
        <v>206.25</v>
      </c>
      <c r="F18" s="14" t="n">
        <f aca="false">F16-F17</f>
        <v>233.0625</v>
      </c>
      <c r="G18" s="14" t="n">
        <f aca="false">G16-G17</f>
        <v>250.426875</v>
      </c>
      <c r="H18" s="14" t="n">
        <f aca="false">H16-H17</f>
        <v>266.3524875</v>
      </c>
      <c r="I18" s="14" t="n">
        <f aca="false">I16-I17</f>
        <v>283.23363675</v>
      </c>
    </row>
    <row r="19" customFormat="false" ht="15" hidden="false" customHeight="true" outlineLevel="0" collapsed="false">
      <c r="B19" s="5" t="s">
        <v>62</v>
      </c>
      <c r="C19" s="14"/>
      <c r="D19" s="14"/>
      <c r="E19" s="14" t="n">
        <v>100</v>
      </c>
      <c r="F19" s="14" t="n">
        <f aca="false">Assumptions!C12</f>
        <v>100</v>
      </c>
      <c r="G19" s="14" t="n">
        <f aca="false">Assumptions!D12</f>
        <v>100</v>
      </c>
      <c r="H19" s="14" t="n">
        <f aca="false">Assumptions!E12</f>
        <v>100</v>
      </c>
      <c r="I19" s="14" t="n">
        <f aca="false">Assumptions!F12</f>
        <v>100</v>
      </c>
    </row>
    <row r="20" customFormat="false" ht="15" hidden="false" customHeight="true" outlineLevel="0" collapsed="false">
      <c r="B20" s="5" t="s">
        <v>63</v>
      </c>
      <c r="C20" s="14"/>
      <c r="D20" s="14"/>
      <c r="E20" s="14" t="n">
        <f aca="false">E18/E19</f>
        <v>2.0625</v>
      </c>
      <c r="F20" s="14" t="n">
        <f aca="false">IFERROR(F18/F19,"-")</f>
        <v>2.330625</v>
      </c>
      <c r="G20" s="14" t="n">
        <f aca="false">IFERROR(G18/G19,"-")</f>
        <v>2.50426875</v>
      </c>
      <c r="H20" s="14" t="n">
        <f aca="false">IFERROR(H18/H19,"-")</f>
        <v>2.663524875</v>
      </c>
      <c r="I20" s="14" t="n">
        <f aca="false">IFERROR(I18/I19,"-")</f>
        <v>2.8323363675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5" hidden="false" customHeight="true" outlineLevel="0" collapsed="false">
      <c r="B2" s="2" t="s">
        <v>64</v>
      </c>
    </row>
    <row r="4" customFormat="false" ht="15" hidden="false" customHeight="true" outlineLevel="0" collapsed="false">
      <c r="A4" s="9"/>
      <c r="B4" s="9" t="s">
        <v>42</v>
      </c>
      <c r="C4" s="9" t="s">
        <v>44</v>
      </c>
      <c r="D4" s="9" t="s">
        <v>45</v>
      </c>
      <c r="E4" s="9" t="s">
        <v>46</v>
      </c>
      <c r="F4" s="9" t="s">
        <v>47</v>
      </c>
      <c r="G4" s="1" t="s">
        <v>48</v>
      </c>
    </row>
    <row r="5" customFormat="false" ht="15" hidden="false" customHeight="true" outlineLevel="0" collapsed="false">
      <c r="B5" s="5" t="s">
        <v>65</v>
      </c>
      <c r="C5" s="14"/>
      <c r="D5" s="14" t="n">
        <v>180</v>
      </c>
      <c r="E5" s="14"/>
      <c r="F5" s="14"/>
      <c r="G5" s="14"/>
    </row>
    <row r="6" customFormat="false" ht="15" hidden="false" customHeight="true" outlineLevel="0" collapsed="false">
      <c r="B6" s="5" t="s">
        <v>66</v>
      </c>
      <c r="C6" s="14"/>
      <c r="D6" s="14" t="n">
        <v>140</v>
      </c>
      <c r="E6" s="14"/>
      <c r="F6" s="14"/>
      <c r="G6" s="14"/>
    </row>
    <row r="7" customFormat="false" ht="15" hidden="false" customHeight="true" outlineLevel="0" collapsed="false">
      <c r="B7" s="5" t="s">
        <v>67</v>
      </c>
      <c r="C7" s="14"/>
      <c r="D7" s="14" t="n">
        <v>95</v>
      </c>
      <c r="E7" s="14"/>
      <c r="F7" s="14"/>
      <c r="G7" s="14"/>
    </row>
    <row r="8" customFormat="false" ht="15" hidden="false" customHeight="true" outlineLevel="0" collapsed="false">
      <c r="B8" s="3" t="s">
        <v>68</v>
      </c>
      <c r="C8" s="14" t="n">
        <f aca="false">C5+C6+C7</f>
        <v>0</v>
      </c>
      <c r="D8" s="14" t="n">
        <f aca="false">D5+D6+D7</f>
        <v>415</v>
      </c>
      <c r="E8" s="14" t="n">
        <f aca="false">E5+E6+E7</f>
        <v>0</v>
      </c>
      <c r="F8" s="14" t="n">
        <f aca="false">F5+F6+F7</f>
        <v>0</v>
      </c>
      <c r="G8" s="14" t="n">
        <f aca="false">G5+G6+G7</f>
        <v>0</v>
      </c>
    </row>
    <row r="9" customFormat="false" ht="15" hidden="false" customHeight="true" outlineLevel="0" collapsed="false">
      <c r="B9" s="5" t="s">
        <v>69</v>
      </c>
      <c r="C9" s="14"/>
      <c r="D9" s="14" t="n">
        <v>420</v>
      </c>
      <c r="E9" s="14"/>
      <c r="F9" s="14"/>
      <c r="G9" s="14"/>
    </row>
    <row r="10" customFormat="false" ht="15" hidden="false" customHeight="true" outlineLevel="0" collapsed="false">
      <c r="B10" s="5" t="s">
        <v>70</v>
      </c>
      <c r="C10" s="14"/>
      <c r="D10" s="14" t="n">
        <v>60</v>
      </c>
      <c r="E10" s="14"/>
      <c r="F10" s="14"/>
      <c r="G10" s="14"/>
    </row>
    <row r="11" customFormat="false" ht="15" hidden="false" customHeight="true" outlineLevel="0" collapsed="false">
      <c r="B11" s="3" t="s">
        <v>71</v>
      </c>
      <c r="C11" s="14" t="n">
        <f aca="false">C8+C9+C10</f>
        <v>0</v>
      </c>
      <c r="D11" s="14" t="n">
        <f aca="false">D8+D9+D10</f>
        <v>895</v>
      </c>
      <c r="E11" s="14" t="n">
        <f aca="false">E8+E9+E10</f>
        <v>0</v>
      </c>
      <c r="F11" s="14" t="n">
        <f aca="false">F8+F9+F10</f>
        <v>0</v>
      </c>
      <c r="G11" s="14" t="n">
        <f aca="false">G8+G9+G10</f>
        <v>0</v>
      </c>
    </row>
    <row r="12" customFormat="false" ht="15" hidden="false" customHeight="true" outlineLevel="0" collapsed="false">
      <c r="B12" s="5" t="s">
        <v>72</v>
      </c>
      <c r="C12" s="14"/>
      <c r="D12" s="14" t="n">
        <v>110</v>
      </c>
      <c r="E12" s="14"/>
      <c r="F12" s="14"/>
      <c r="G12" s="14"/>
    </row>
    <row r="13" customFormat="false" ht="15" hidden="false" customHeight="true" outlineLevel="0" collapsed="false">
      <c r="B13" s="5" t="s">
        <v>73</v>
      </c>
      <c r="C13" s="14"/>
      <c r="D13" s="14" t="n">
        <v>15</v>
      </c>
      <c r="E13" s="14"/>
      <c r="F13" s="14"/>
      <c r="G13" s="14"/>
    </row>
    <row r="14" customFormat="false" ht="15" hidden="false" customHeight="true" outlineLevel="0" collapsed="false">
      <c r="B14" s="3" t="s">
        <v>74</v>
      </c>
      <c r="C14" s="14" t="n">
        <f aca="false">C12+C13</f>
        <v>0</v>
      </c>
      <c r="D14" s="14" t="n">
        <f aca="false">D12+D13</f>
        <v>125</v>
      </c>
      <c r="E14" s="14" t="n">
        <f aca="false">E12+E13</f>
        <v>0</v>
      </c>
      <c r="F14" s="14" t="n">
        <f aca="false">F12+F13</f>
        <v>0</v>
      </c>
      <c r="G14" s="14" t="n">
        <f aca="false">G12+G13</f>
        <v>0</v>
      </c>
    </row>
    <row r="15" customFormat="false" ht="15" hidden="false" customHeight="true" outlineLevel="0" collapsed="false">
      <c r="B15" s="5" t="s">
        <v>75</v>
      </c>
      <c r="C15" s="14"/>
      <c r="D15" s="14" t="n">
        <v>180</v>
      </c>
      <c r="E15" s="14"/>
      <c r="F15" s="14"/>
      <c r="G15" s="14"/>
    </row>
    <row r="16" customFormat="false" ht="15" hidden="false" customHeight="true" outlineLevel="0" collapsed="false">
      <c r="B16" s="3" t="s">
        <v>76</v>
      </c>
      <c r="C16" s="14" t="n">
        <f aca="false">C14+C15</f>
        <v>0</v>
      </c>
      <c r="D16" s="14" t="n">
        <f aca="false">D14+D15</f>
        <v>305</v>
      </c>
      <c r="E16" s="14" t="n">
        <f aca="false">E14+E15</f>
        <v>0</v>
      </c>
      <c r="F16" s="14" t="n">
        <f aca="false">F14+F15</f>
        <v>0</v>
      </c>
      <c r="G16" s="14" t="n">
        <f aca="false">G14+G15</f>
        <v>0</v>
      </c>
    </row>
    <row r="17" customFormat="false" ht="15" hidden="false" customHeight="true" outlineLevel="0" collapsed="false">
      <c r="B17" s="3" t="s">
        <v>77</v>
      </c>
      <c r="C17" s="14"/>
      <c r="D17" s="14" t="n">
        <f aca="false">D11-D16</f>
        <v>590</v>
      </c>
      <c r="E17" s="14"/>
      <c r="F17" s="14"/>
      <c r="G17" s="14"/>
    </row>
    <row r="19" customFormat="false" ht="15" hidden="false" customHeight="true" outlineLevel="0" collapsed="false">
      <c r="B19" s="16" t="s">
        <v>78</v>
      </c>
      <c r="C19" s="17" t="n">
        <f aca="false">C11-C16-C17</f>
        <v>0</v>
      </c>
      <c r="D19" s="17" t="n">
        <f aca="false">D11-D16-D17</f>
        <v>0</v>
      </c>
      <c r="E19" s="17" t="n">
        <f aca="false">E11-E16-E17</f>
        <v>0</v>
      </c>
      <c r="F19" s="17" t="n">
        <f aca="false">F11-F16-F17</f>
        <v>0</v>
      </c>
      <c r="G19" s="17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5" hidden="false" customHeight="true" outlineLevel="0" collapsed="false">
      <c r="B2" s="2" t="s">
        <v>79</v>
      </c>
    </row>
    <row r="4" customFormat="false" ht="15" hidden="false" customHeight="true" outlineLevel="0" collapsed="false">
      <c r="A4" s="9"/>
      <c r="B4" s="9" t="s">
        <v>42</v>
      </c>
      <c r="C4" s="9" t="s">
        <v>44</v>
      </c>
      <c r="D4" s="9" t="s">
        <v>45</v>
      </c>
      <c r="E4" s="9" t="s">
        <v>46</v>
      </c>
      <c r="F4" s="9" t="s">
        <v>47</v>
      </c>
      <c r="G4" s="1" t="s">
        <v>48</v>
      </c>
    </row>
    <row r="5" customFormat="false" ht="15" hidden="false" customHeight="true" outlineLevel="0" collapsed="false">
      <c r="B5" s="5" t="s">
        <v>61</v>
      </c>
      <c r="C5" s="14"/>
      <c r="D5" s="14" t="n">
        <f aca="false">IS!E18</f>
        <v>206.25</v>
      </c>
      <c r="E5" s="18" t="n">
        <f aca="false">IS!F18</f>
        <v>233.0625</v>
      </c>
      <c r="F5" s="18" t="n">
        <f aca="false">IS!G18</f>
        <v>250.426875</v>
      </c>
      <c r="G5" s="18" t="n">
        <f aca="false">IS!H18</f>
        <v>266.3524875</v>
      </c>
    </row>
    <row r="6" customFormat="false" ht="15" hidden="false" customHeight="true" outlineLevel="0" collapsed="false">
      <c r="B6" s="5" t="s">
        <v>80</v>
      </c>
      <c r="C6" s="14"/>
      <c r="D6" s="14" t="n">
        <v>45</v>
      </c>
      <c r="E6" s="18" t="n">
        <f aca="false">IS!F13</f>
        <v>36.45</v>
      </c>
      <c r="F6" s="18" t="n">
        <f aca="false">IS!G13</f>
        <v>39.0015</v>
      </c>
      <c r="G6" s="18" t="n">
        <f aca="false">IS!H13</f>
        <v>41.34159</v>
      </c>
    </row>
    <row r="7" customFormat="false" ht="15" hidden="false" customHeight="true" outlineLevel="0" collapsed="false">
      <c r="B7" s="5" t="s">
        <v>81</v>
      </c>
      <c r="C7" s="14"/>
      <c r="D7" s="14" t="n">
        <v>-12</v>
      </c>
      <c r="E7" s="14"/>
      <c r="F7" s="14"/>
      <c r="G7" s="14"/>
    </row>
    <row r="8" customFormat="false" ht="15" hidden="false" customHeight="true" outlineLevel="0" collapsed="false">
      <c r="B8" s="3" t="s">
        <v>82</v>
      </c>
      <c r="C8" s="14" t="n">
        <f aca="false">C5+C6+C7</f>
        <v>0</v>
      </c>
      <c r="D8" s="14" t="n">
        <f aca="false">D5+D6+D7</f>
        <v>239.25</v>
      </c>
      <c r="E8" s="14" t="n">
        <f aca="false">E5+E6+E7</f>
        <v>269.5125</v>
      </c>
      <c r="F8" s="14" t="n">
        <f aca="false">F5+F6+F7</f>
        <v>289.428375</v>
      </c>
      <c r="G8" s="14" t="n">
        <f aca="false">G5+G6+G7</f>
        <v>307.6940775</v>
      </c>
    </row>
    <row r="9" customFormat="false" ht="15" hidden="false" customHeight="true" outlineLevel="0" collapsed="false">
      <c r="B9" s="5" t="s">
        <v>83</v>
      </c>
      <c r="C9" s="14"/>
      <c r="D9" s="14" t="n">
        <v>-45</v>
      </c>
      <c r="E9" s="14"/>
      <c r="F9" s="14"/>
      <c r="G9" s="14"/>
    </row>
    <row r="10" customFormat="false" ht="15" hidden="false" customHeight="true" outlineLevel="0" collapsed="false">
      <c r="B10" s="3" t="s">
        <v>84</v>
      </c>
      <c r="C10" s="14" t="n">
        <f aca="false">C8+C9</f>
        <v>0</v>
      </c>
      <c r="D10" s="14" t="n">
        <f aca="false">D8+D9</f>
        <v>194.25</v>
      </c>
      <c r="E10" s="14" t="n">
        <f aca="false">E8+E9</f>
        <v>269.5125</v>
      </c>
      <c r="F10" s="14" t="n">
        <f aca="false">F8+F9</f>
        <v>289.428375</v>
      </c>
      <c r="G10" s="14" t="n">
        <f aca="false">G8+G9</f>
        <v>307.6940775</v>
      </c>
    </row>
    <row r="11" customFormat="false" ht="15" hidden="false" customHeight="true" outlineLevel="0" collapsed="false">
      <c r="B11" s="5" t="s">
        <v>85</v>
      </c>
      <c r="C11" s="14"/>
      <c r="D11" s="14" t="n">
        <v>-10</v>
      </c>
      <c r="E11" s="14"/>
      <c r="F11" s="14"/>
      <c r="G11" s="14"/>
    </row>
    <row r="12" customFormat="false" ht="15" hidden="false" customHeight="true" outlineLevel="0" collapsed="false">
      <c r="B12" s="5" t="s">
        <v>86</v>
      </c>
      <c r="C12" s="14"/>
      <c r="D12" s="14" t="n">
        <v>-20</v>
      </c>
      <c r="E12" s="14"/>
      <c r="F12" s="14"/>
      <c r="G12" s="14"/>
    </row>
    <row r="13" customFormat="false" ht="15" hidden="false" customHeight="true" outlineLevel="0" collapsed="false">
      <c r="B13" s="5" t="s">
        <v>87</v>
      </c>
      <c r="C13" s="14" t="n">
        <f aca="false">C10+C11+C12</f>
        <v>0</v>
      </c>
      <c r="D13" s="14" t="n">
        <f aca="false">D10+D11+D12</f>
        <v>164.25</v>
      </c>
      <c r="E13" s="14" t="n">
        <f aca="false">E10+E11+E12</f>
        <v>269.5125</v>
      </c>
      <c r="F13" s="14" t="n">
        <f aca="false">F10+F11+F12</f>
        <v>289.428375</v>
      </c>
      <c r="G13" s="14" t="n">
        <f aca="false">G10+G11+G12</f>
        <v>307.6940775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  <col collapsed="false" customWidth="true" hidden="false" outlineLevel="0" max="8" min="8" style="1" width="4"/>
    <col collapsed="false" customWidth="true" hidden="false" outlineLevel="0" max="9" min="9" style="1" width="22"/>
    <col collapsed="false" customWidth="true" hidden="false" outlineLevel="0" max="10" min="10" style="1" width="14"/>
  </cols>
  <sheetData>
    <row r="2" customFormat="false" ht="19.5" hidden="false" customHeight="true" outlineLevel="0" collapsed="false">
      <c r="B2" s="2" t="s">
        <v>88</v>
      </c>
    </row>
    <row r="4" customFormat="false" ht="15" hidden="false" customHeight="true" outlineLevel="0" collapsed="false">
      <c r="C4" s="9" t="s">
        <v>46</v>
      </c>
      <c r="D4" s="9" t="s">
        <v>47</v>
      </c>
      <c r="E4" s="9" t="s">
        <v>48</v>
      </c>
      <c r="F4" s="9" t="s">
        <v>49</v>
      </c>
      <c r="G4" s="9" t="s">
        <v>89</v>
      </c>
      <c r="H4" s="3" t="s">
        <v>90</v>
      </c>
    </row>
    <row r="5" customFormat="false" ht="15" hidden="false" customHeight="true" outlineLevel="0" collapsed="false">
      <c r="B5" s="1" t="s">
        <v>91</v>
      </c>
      <c r="C5" s="19" t="n">
        <f aca="false">IS!F14*(1-Assumptions!C8)+IS!F13-IS!F5*Assumptions!C10</f>
        <v>235.9125</v>
      </c>
      <c r="D5" s="19" t="n">
        <f aca="false">IS!G14*(1-Assumptions!D8)+IS!G13-IS!G5*Assumptions!D10</f>
        <v>252.426375</v>
      </c>
      <c r="E5" s="19" t="n">
        <f aca="false">IS!H14*(1-Assumptions!E8)+IS!H13-IS!H5*Assumptions!E10</f>
        <v>267.5719575</v>
      </c>
      <c r="F5" s="19" t="n">
        <f aca="false">IS!I14*(1-Assumptions!F8)+IS!I13-IS!I5*Assumptions!F10</f>
        <v>283.62627495</v>
      </c>
      <c r="G5" s="19" t="n">
        <f aca="false">F5*(1+Assumptions!G5)</f>
        <v>297.8075886975</v>
      </c>
      <c r="H5" s="1" t="s">
        <v>92</v>
      </c>
      <c r="I5" s="20" t="n">
        <v>0.095</v>
      </c>
    </row>
    <row r="6" customFormat="false" ht="15" hidden="false" customHeight="true" outlineLevel="0" collapsed="false">
      <c r="B6" s="1" t="s">
        <v>93</v>
      </c>
      <c r="C6" s="21" t="n">
        <f aca="false">1/(1+$I$5)^(1)</f>
        <v>0.91324200913242</v>
      </c>
      <c r="D6" s="21" t="n">
        <f aca="false">1/(1+$I$5)^(2)</f>
        <v>0.834010967244219</v>
      </c>
      <c r="E6" s="21" t="n">
        <f aca="false">1/(1+$I$5)^(3)</f>
        <v>0.761653851364584</v>
      </c>
      <c r="F6" s="21" t="n">
        <f aca="false">1/(1+$I$5)^(4)</f>
        <v>0.695574293483638</v>
      </c>
      <c r="G6" s="21" t="n">
        <f aca="false">1/(1+$I$5)^(5)</f>
        <v>0.635227665281862</v>
      </c>
      <c r="H6" s="1" t="s">
        <v>94</v>
      </c>
      <c r="I6" s="20" t="n">
        <v>0.025</v>
      </c>
    </row>
    <row r="7" customFormat="false" ht="15" hidden="false" customHeight="true" outlineLevel="0" collapsed="false">
      <c r="B7" s="1" t="s">
        <v>95</v>
      </c>
      <c r="C7" s="22" t="n">
        <f aca="false">C5*C6</f>
        <v>215.445205479452</v>
      </c>
      <c r="D7" s="22" t="n">
        <f aca="false">D5*D6</f>
        <v>210.526365171702</v>
      </c>
      <c r="E7" s="22" t="n">
        <f aca="false">E5*E6</f>
        <v>203.797211947036</v>
      </c>
      <c r="F7" s="22" t="n">
        <f aca="false">F5*F6</f>
        <v>197.283145811742</v>
      </c>
      <c r="G7" s="22" t="n">
        <f aca="false">G5*G6</f>
        <v>189.175619271534</v>
      </c>
      <c r="H7" s="1" t="s">
        <v>96</v>
      </c>
      <c r="I7" s="22" t="n">
        <f aca="false">G5*(1+I6)/(I5-I6)</f>
        <v>4360.75397735625</v>
      </c>
    </row>
    <row r="8" customFormat="false" ht="15" hidden="false" customHeight="true" outlineLevel="0" collapsed="false">
      <c r="H8" s="1" t="s">
        <v>97</v>
      </c>
      <c r="I8" s="22" t="n">
        <f aca="false">I7*G6</f>
        <v>2770.0715679046</v>
      </c>
    </row>
    <row r="9" customFormat="false" ht="15" hidden="false" customHeight="true" outlineLevel="0" collapsed="false">
      <c r="H9" s="1" t="s">
        <v>98</v>
      </c>
      <c r="I9" s="22" t="n">
        <f aca="false">SUM(C7:G7)</f>
        <v>1016.22754768147</v>
      </c>
    </row>
    <row r="10" customFormat="false" ht="15" hidden="false" customHeight="true" outlineLevel="0" collapsed="false">
      <c r="H10" s="1" t="s">
        <v>99</v>
      </c>
      <c r="I10" s="23" t="n">
        <f aca="false">I8+I9</f>
        <v>3786.29911558607</v>
      </c>
    </row>
    <row r="11" customFormat="false" ht="15" hidden="false" customHeight="true" outlineLevel="0" collapsed="false">
      <c r="H11" s="1" t="s">
        <v>100</v>
      </c>
      <c r="I11" s="24" t="n">
        <v>15</v>
      </c>
    </row>
    <row r="12" customFormat="false" ht="15" hidden="false" customHeight="true" outlineLevel="0" collapsed="false">
      <c r="H12" s="1" t="s">
        <v>101</v>
      </c>
      <c r="I12" s="23" t="n">
        <f aca="false">I10-I11</f>
        <v>3771.29911558607</v>
      </c>
    </row>
    <row r="13" customFormat="false" ht="15" hidden="false" customHeight="true" outlineLevel="0" collapsed="false">
      <c r="H13" s="1" t="s">
        <v>102</v>
      </c>
      <c r="I13" s="24" t="n">
        <v>100</v>
      </c>
    </row>
    <row r="14" customFormat="false" ht="15" hidden="false" customHeight="true" outlineLevel="0" collapsed="false">
      <c r="H14" s="1" t="s">
        <v>103</v>
      </c>
      <c r="I14" s="23" t="n">
        <f aca="false">I12/I13</f>
        <v>37.7129911558607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2"/>
  </cols>
  <sheetData>
    <row r="2" customFormat="false" ht="19.5" hidden="false" customHeight="true" outlineLevel="0" collapsed="false">
      <c r="B2" s="2" t="s">
        <v>104</v>
      </c>
    </row>
    <row r="4" customFormat="false" ht="15" hidden="false" customHeight="true" outlineLevel="0" collapsed="false">
      <c r="A4" s="9"/>
      <c r="B4" s="9" t="s">
        <v>105</v>
      </c>
      <c r="C4" s="9" t="s">
        <v>106</v>
      </c>
      <c r="D4" s="9" t="s">
        <v>107</v>
      </c>
      <c r="E4" s="9" t="s">
        <v>108</v>
      </c>
      <c r="F4" s="9" t="s">
        <v>109</v>
      </c>
      <c r="G4" s="9" t="s">
        <v>110</v>
      </c>
      <c r="H4" s="9" t="s">
        <v>111</v>
      </c>
    </row>
    <row r="5" customFormat="false" ht="15" hidden="false" customHeight="true" outlineLevel="0" collapsed="false">
      <c r="B5" s="4" t="s">
        <v>112</v>
      </c>
      <c r="C5" s="13" t="n">
        <v>42.1</v>
      </c>
      <c r="D5" s="13" t="n">
        <v>4200</v>
      </c>
      <c r="E5" s="13" t="n">
        <v>4550</v>
      </c>
      <c r="F5" s="25" t="n">
        <v>3.1</v>
      </c>
      <c r="G5" s="25" t="n">
        <v>11.5</v>
      </c>
      <c r="H5" s="25" t="n">
        <v>18.2</v>
      </c>
    </row>
    <row r="6" customFormat="false" ht="15" hidden="false" customHeight="true" outlineLevel="0" collapsed="false">
      <c r="B6" s="4" t="s">
        <v>113</v>
      </c>
      <c r="C6" s="13" t="n">
        <v>67.8</v>
      </c>
      <c r="D6" s="13" t="n">
        <v>6780</v>
      </c>
      <c r="E6" s="13" t="n">
        <v>7100</v>
      </c>
      <c r="F6" s="25" t="n">
        <v>2.8</v>
      </c>
      <c r="G6" s="25" t="n">
        <v>10.2</v>
      </c>
      <c r="H6" s="25" t="n">
        <v>16.5</v>
      </c>
    </row>
    <row r="7" customFormat="false" ht="15" hidden="false" customHeight="true" outlineLevel="0" collapsed="false">
      <c r="B7" s="4" t="s">
        <v>114</v>
      </c>
      <c r="C7" s="13" t="n">
        <v>28.5</v>
      </c>
      <c r="D7" s="13" t="n">
        <v>2850</v>
      </c>
      <c r="E7" s="13" t="n">
        <v>3050</v>
      </c>
      <c r="F7" s="25" t="n">
        <v>2.5</v>
      </c>
      <c r="G7" s="25" t="n">
        <v>9.8</v>
      </c>
      <c r="H7" s="25" t="n">
        <v>15.1</v>
      </c>
    </row>
    <row r="8" customFormat="false" ht="15" hidden="false" customHeight="true" outlineLevel="0" collapsed="false">
      <c r="B8" s="4" t="s">
        <v>115</v>
      </c>
      <c r="C8" s="13" t="n">
        <v>95.4</v>
      </c>
      <c r="D8" s="13" t="n">
        <v>9540</v>
      </c>
      <c r="E8" s="13" t="n">
        <v>10100</v>
      </c>
      <c r="F8" s="25" t="n">
        <v>3.4</v>
      </c>
      <c r="G8" s="25" t="n">
        <v>12.8</v>
      </c>
      <c r="H8" s="25" t="n">
        <v>21</v>
      </c>
    </row>
    <row r="9" customFormat="false" ht="15" hidden="false" customHeight="true" outlineLevel="0" collapsed="false">
      <c r="B9" s="4" t="s">
        <v>116</v>
      </c>
      <c r="C9" s="13" t="n">
        <v>0</v>
      </c>
      <c r="D9" s="13" t="n">
        <v>0</v>
      </c>
      <c r="E9" s="13" t="n">
        <v>0</v>
      </c>
      <c r="F9" s="25" t="n">
        <v>0</v>
      </c>
      <c r="G9" s="25" t="n">
        <v>0</v>
      </c>
      <c r="H9" s="25" t="n">
        <v>0</v>
      </c>
    </row>
    <row r="10" customFormat="false" ht="15" hidden="false" customHeight="true" outlineLevel="0" collapsed="false">
      <c r="B10" s="4" t="s">
        <v>116</v>
      </c>
      <c r="C10" s="13" t="n">
        <v>0</v>
      </c>
      <c r="D10" s="13" t="n">
        <v>0</v>
      </c>
      <c r="E10" s="13" t="n">
        <v>0</v>
      </c>
      <c r="F10" s="25" t="n">
        <v>0</v>
      </c>
      <c r="G10" s="25" t="n">
        <v>0</v>
      </c>
      <c r="H10" s="25" t="n">
        <v>0</v>
      </c>
    </row>
    <row r="11" customFormat="false" ht="15" hidden="false" customHeight="true" outlineLevel="0" collapsed="false">
      <c r="B11" s="4" t="s">
        <v>116</v>
      </c>
      <c r="C11" s="13" t="n">
        <v>0</v>
      </c>
      <c r="D11" s="13" t="n">
        <v>0</v>
      </c>
      <c r="E11" s="13" t="n">
        <v>0</v>
      </c>
      <c r="F11" s="25" t="n">
        <v>0</v>
      </c>
      <c r="G11" s="25" t="n">
        <v>0</v>
      </c>
      <c r="H11" s="25" t="n">
        <v>0</v>
      </c>
    </row>
    <row r="13" customFormat="false" ht="15" hidden="false" customHeight="true" outlineLevel="0" collapsed="false">
      <c r="B13" s="3" t="s">
        <v>117</v>
      </c>
      <c r="C13" s="23" t="n">
        <f aca="false">MEDIAN(C5:C12)</f>
        <v>28.5</v>
      </c>
      <c r="D13" s="23" t="n">
        <f aca="false">MEDIAN(D5:D12)</f>
        <v>2850</v>
      </c>
      <c r="E13" s="23" t="n">
        <f aca="false">MEDIAN(E5:E12)</f>
        <v>3050</v>
      </c>
      <c r="F13" s="26" t="n">
        <f aca="false">MEDIAN(F5:F12)</f>
        <v>2.5</v>
      </c>
      <c r="G13" s="26" t="n">
        <f aca="false">MEDIAN(G5:G12)</f>
        <v>9.8</v>
      </c>
      <c r="H13" s="26" t="n">
        <f aca="false">MEDIAN(H5:H12)</f>
        <v>15.1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8" min="3" style="1" width="12"/>
  </cols>
  <sheetData>
    <row r="2" customFormat="false" ht="19.5" hidden="false" customHeight="true" outlineLevel="0" collapsed="false">
      <c r="B2" s="2" t="s">
        <v>118</v>
      </c>
    </row>
    <row r="4" customFormat="false" ht="15" hidden="false" customHeight="true" outlineLevel="0" collapsed="false">
      <c r="B4" s="27" t="s">
        <v>119</v>
      </c>
      <c r="C4" s="28" t="n">
        <v>0.015</v>
      </c>
      <c r="D4" s="28" t="n">
        <v>0.02</v>
      </c>
      <c r="E4" s="28" t="n">
        <v>0.025</v>
      </c>
      <c r="F4" s="28" t="n">
        <v>0.03</v>
      </c>
      <c r="G4" s="28" t="n">
        <v>0.035</v>
      </c>
    </row>
    <row r="5" customFormat="false" ht="15" hidden="false" customHeight="true" outlineLevel="0" collapsed="false">
      <c r="B5" s="28" t="n">
        <v>0.08</v>
      </c>
      <c r="C5" s="16" t="s">
        <v>120</v>
      </c>
      <c r="D5" s="16" t="s">
        <v>120</v>
      </c>
      <c r="E5" s="16" t="s">
        <v>120</v>
      </c>
      <c r="F5" s="16" t="s">
        <v>120</v>
      </c>
      <c r="G5" s="16" t="s">
        <v>120</v>
      </c>
    </row>
    <row r="6" customFormat="false" ht="15" hidden="false" customHeight="true" outlineLevel="0" collapsed="false">
      <c r="B6" s="28" t="n">
        <v>0.09</v>
      </c>
      <c r="C6" s="16" t="s">
        <v>120</v>
      </c>
      <c r="D6" s="16" t="s">
        <v>120</v>
      </c>
      <c r="E6" s="16" t="s">
        <v>120</v>
      </c>
      <c r="F6" s="16" t="s">
        <v>120</v>
      </c>
      <c r="G6" s="16" t="s">
        <v>120</v>
      </c>
    </row>
    <row r="7" customFormat="false" ht="15" hidden="false" customHeight="true" outlineLevel="0" collapsed="false">
      <c r="B7" s="28" t="n">
        <v>0.1</v>
      </c>
      <c r="C7" s="16" t="s">
        <v>120</v>
      </c>
      <c r="D7" s="16" t="s">
        <v>120</v>
      </c>
      <c r="E7" s="16" t="s">
        <v>120</v>
      </c>
      <c r="F7" s="16" t="s">
        <v>120</v>
      </c>
      <c r="G7" s="16" t="s">
        <v>120</v>
      </c>
    </row>
    <row r="8" customFormat="false" ht="15" hidden="false" customHeight="true" outlineLevel="0" collapsed="false">
      <c r="B8" s="28" t="n">
        <v>0.11</v>
      </c>
      <c r="C8" s="16" t="s">
        <v>120</v>
      </c>
      <c r="D8" s="16" t="s">
        <v>120</v>
      </c>
      <c r="E8" s="16" t="s">
        <v>120</v>
      </c>
      <c r="F8" s="16" t="s">
        <v>120</v>
      </c>
      <c r="G8" s="16" t="s">
        <v>120</v>
      </c>
    </row>
    <row r="9" customFormat="false" ht="15" hidden="false" customHeight="true" outlineLevel="0" collapsed="false">
      <c r="B9" s="28" t="n">
        <v>0.12</v>
      </c>
      <c r="C9" s="16" t="s">
        <v>120</v>
      </c>
      <c r="D9" s="16" t="s">
        <v>120</v>
      </c>
      <c r="E9" s="16" t="s">
        <v>120</v>
      </c>
      <c r="F9" s="16" t="s">
        <v>120</v>
      </c>
      <c r="G9" s="16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121</v>
      </c>
    </row>
    <row r="4" customFormat="false" ht="15" hidden="false" customHeight="true" outlineLevel="0" collapsed="false">
      <c r="A4" s="9"/>
      <c r="B4" s="9" t="s">
        <v>122</v>
      </c>
      <c r="C4" s="9" t="s">
        <v>123</v>
      </c>
      <c r="D4" s="9" t="s">
        <v>124</v>
      </c>
      <c r="E4" s="9" t="s">
        <v>125</v>
      </c>
      <c r="F4" s="9" t="s">
        <v>126</v>
      </c>
    </row>
    <row r="5" customFormat="false" ht="15" hidden="false" customHeight="true" outlineLevel="0" collapsed="false">
      <c r="B5" s="29" t="s">
        <v>4</v>
      </c>
      <c r="C5" s="29" t="s">
        <v>127</v>
      </c>
      <c r="D5" s="29" t="s">
        <v>128</v>
      </c>
      <c r="E5" s="29" t="s">
        <v>129</v>
      </c>
      <c r="F5" s="29" t="s">
        <v>130</v>
      </c>
    </row>
    <row r="6" customFormat="false" ht="15" hidden="false" customHeight="true" outlineLevel="0" collapsed="false">
      <c r="B6" s="29" t="s">
        <v>130</v>
      </c>
      <c r="C6" s="29" t="s">
        <v>131</v>
      </c>
      <c r="D6" s="29" t="s">
        <v>132</v>
      </c>
      <c r="E6" s="29" t="s">
        <v>133</v>
      </c>
      <c r="F6" s="29" t="s">
        <v>6</v>
      </c>
    </row>
    <row r="7" customFormat="false" ht="15" hidden="false" customHeight="true" outlineLevel="0" collapsed="false">
      <c r="B7" s="29" t="s">
        <v>6</v>
      </c>
      <c r="C7" s="29" t="s">
        <v>134</v>
      </c>
      <c r="D7" s="29" t="s">
        <v>135</v>
      </c>
      <c r="E7" s="29" t="s">
        <v>136</v>
      </c>
      <c r="F7" s="29" t="s">
        <v>137</v>
      </c>
    </row>
    <row r="8" customFormat="false" ht="15" hidden="false" customHeight="true" outlineLevel="0" collapsed="false">
      <c r="B8" s="29"/>
      <c r="C8" s="29"/>
      <c r="D8" s="29"/>
      <c r="E8" s="29"/>
      <c r="F8" s="29"/>
    </row>
    <row r="9" customFormat="false" ht="15" hidden="false" customHeight="true" outlineLevel="0" collapsed="false">
      <c r="B9" s="29"/>
      <c r="C9" s="29"/>
      <c r="D9" s="29"/>
      <c r="E9" s="29"/>
      <c r="F9" s="29"/>
    </row>
    <row r="10" customFormat="false" ht="15" hidden="false" customHeight="true" outlineLevel="0" collapsed="false">
      <c r="B10" s="29"/>
      <c r="C10" s="29"/>
      <c r="D10" s="29"/>
      <c r="E10" s="29"/>
      <c r="F10" s="29"/>
    </row>
    <row r="11" customFormat="false" ht="15" hidden="false" customHeight="true" outlineLevel="0" collapsed="false">
      <c r="B11" s="29"/>
      <c r="C11" s="29"/>
      <c r="D11" s="29"/>
      <c r="E11" s="29"/>
      <c r="F11" s="29"/>
    </row>
    <row r="12" customFormat="false" ht="15" hidden="false" customHeight="true" outlineLevel="0" collapsed="false">
      <c r="B12" s="29"/>
      <c r="C12" s="29"/>
      <c r="D12" s="29"/>
      <c r="E12" s="29"/>
      <c r="F12" s="29"/>
    </row>
    <row r="13" customFormat="false" ht="15" hidden="false" customHeight="true" outlineLevel="0" collapsed="false">
      <c r="B13" s="29"/>
      <c r="C13" s="29"/>
      <c r="D13" s="29"/>
      <c r="E13" s="29"/>
      <c r="F13" s="29"/>
    </row>
    <row r="14" customFormat="false" ht="15" hidden="false" customHeight="true" outlineLevel="0" collapsed="false">
      <c r="B14" s="29"/>
      <c r="C14" s="29"/>
      <c r="D14" s="29"/>
      <c r="E14" s="29"/>
      <c r="F14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2026-08-03T23:16:04Z</dcterms:created>
  <dc:creator>openpyxl</dc:creator>
  <dc:description/>
  <dc:language>en-US</dc:language>
  <cp:lastModifiedBy/>
  <dcterms:modified xsi:type="dcterms:W3CDTF">2026-08-03T23:25:38Z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