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turns &amp; Sharpe" sheetId="2" state="visible" r:id="rId4"/>
    <sheet name="Statistical Significance" sheetId="3" state="visible" r:id="rId5"/>
    <sheet name="Position Sizing" sheetId="4" state="visible" r:id="rId6"/>
    <sheet name="Sources" sheetId="5" state="visible" r:id="rId7"/>
    <sheet name="Checks" sheetId="6" state="visible" r:id="rId8"/>
    <sheet name="Refresh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<sst xmlns="http://schemas.openxmlformats.org/spreadsheetml/2006/main" count="130" uniqueCount="125">
  <si>
    <t xml:space="preserve">[STRATEGY] — Quantitative / Systematic Model</t>
  </si>
  <si>
    <t xml:space="preserve">Strategy:</t>
  </si>
  <si>
    <t xml:space="preserve">[fill in]</t>
  </si>
  <si>
    <t xml:space="preserve">Asset class / universe:</t>
  </si>
  <si>
    <t xml:space="preserve">Last refreshed:</t>
  </si>
  <si>
    <t xml:space="preserve">[date]</t>
  </si>
  <si>
    <t xml:space="preserve">Refresh cadence:</t>
  </si>
  <si>
    <t xml:space="preserve">Weekly (daily if live-traded)</t>
  </si>
  <si>
    <t xml:space="preserve">Risk-Adjusted Return Statistics</t>
  </si>
  <si>
    <t xml:space="preserve">Monthly return series (enter below, extend as needed)</t>
  </si>
  <si>
    <t xml:space="preserve">Month</t>
  </si>
  <si>
    <t xml:space="preserve">Return %</t>
  </si>
  <si>
    <t xml:space="preserve">Benchmark %</t>
  </si>
  <si>
    <t xml:space="preserve">Wealth idx</t>
  </si>
  <si>
    <t xml:space="preserve">Peak</t>
  </si>
  <si>
    <t xml:space="preserve">Drawdown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</si>
  <si>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</si>
  <si>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</si>
  <si>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</si>
  <si>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</si>
  <si>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</si>
  <si>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</si>
  <si>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</si>
  <si>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</si>
  <si>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</si>
  <si>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</si>
  <si>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</si>
  <si>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</si>
  <si>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</si>
  <si>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</si>
  <si>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</si>
  <si>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</si>
  <si>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</si>
  <si>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</si>
  <si>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</si>
  <si>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</si>
  <si>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</si>
  <si>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</si>
  <si>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</si>
  <si>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</si>
  <si>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Risk-free rate (annual, %)</t>
  </si>
  <si>
    <t xml:space="preserve">Outputs</t>
  </si>
  <si>
    <t xml:space="preserve">Avg monthly return</t>
  </si>
  <si>
    <t xml:space="preserve">Monthly std dev</t>
  </si>
  <si>
    <t xml:space="preserve">Annualized return</t>
  </si>
  <si>
    <t xml:space="preserve">Annualized volatility</t>
  </si>
  <si>
    <t xml:space="preserve">Sharpe ratio</t>
  </si>
  <si>
    <t xml:space="preserve">Downside deviation (returns &lt; 0 only)</t>
  </si>
  <si>
    <t xml:space="preserve">Sortino ratio</t>
  </si>
  <si>
    <t xml:space="preserve">Max drawdown</t>
  </si>
  <si>
    <t xml:space="preserve">Trough of the wealth-index drawdown series (columns F-H) — worst peak-to-trough decline in the sample</t>
  </si>
  <si>
    <t xml:space="preserve">Benchmark &amp; Factor Exposure (single-factor / CAPM)</t>
  </si>
  <si>
    <t xml:space="preserve">Avg monthly benchmark return</t>
  </si>
  <si>
    <t xml:space="preserve">Annualized benchmark return</t>
  </si>
  <si>
    <t xml:space="preserve">Beta (vs benchmark)</t>
  </si>
  <si>
    <t xml:space="preserve">R-squared</t>
  </si>
  <si>
    <t xml:space="preserve">Jensen's alpha (annualized) = Rp - [Rf + Beta x (Rm - Rf)]</t>
  </si>
  <si>
    <t xml:space="preserve">Positive = generating return beyond what beta exposure to the benchmark would explain</t>
  </si>
  <si>
    <t xml:space="preserve">Probabilistic Sharpe Ratio &amp; Minimum Track Record Length</t>
  </si>
  <si>
    <t xml:space="preserve">A Sharpe ratio from a short, noisy, skewed return sample is an ESTIMATE, not a fact -- the naive headline number overstates confidence. Bailey &amp; Lopez de Prado's Probabilistic Sharpe Ratio answers 'how confident are we the TRUE Sharpe exceeds some benchmark,' correcting for sample length, skewness, and kurtosis -- exactly the corrections a track record with only 24 months and fat tails actually needs.</t>
  </si>
  <si>
    <t xml:space="preserve">Inputs</t>
  </si>
  <si>
    <t xml:space="preserve">Benchmark Sharpe to test against, SR* (periodic/monthly)</t>
  </si>
  <si>
    <t xml:space="preserve">Confidence level (for Minimum Track Record Length)</t>
  </si>
  <si>
    <t xml:space="preserve">From the Return Sample</t>
  </si>
  <si>
    <t xml:space="preserve">Number of periods, n</t>
  </si>
  <si>
    <t xml:space="preserve">Skewness</t>
  </si>
  <si>
    <t xml:space="preserve">Excess kurtosis (0 = normal)</t>
  </si>
  <si>
    <t xml:space="preserve">Periodic (monthly) Sharpe ratio, SR-hat</t>
  </si>
  <si>
    <t xml:space="preserve">Probabilistic Sharpe Ratio</t>
  </si>
  <si>
    <t xml:space="preserve">PSR denominator: sqrt(1 - skew x SR + (kurt+2)/4 x SR^2)</t>
  </si>
  <si>
    <t xml:space="preserve">Bailey &amp; Lopez de Prado (2012). Reduces to sqrt(1/(n-1)) under normality (skew=0, excess kurt=0).</t>
  </si>
  <si>
    <t xml:space="preserve">PSR z-statistic: (SR-hat - SR*) x sqrt(n-1) / denominator</t>
  </si>
  <si>
    <t xml:space="preserve">PSR = P(true Sharpe &gt; SR*)</t>
  </si>
  <si>
    <t xml:space="preserve">Below ~95% is a real reason to doubt the headline Sharpe, no matter how good it looks</t>
  </si>
  <si>
    <t xml:space="preserve">Minimum Track Record Length</t>
  </si>
  <si>
    <t xml:space="preserve">z-score at chosen confidence (NORMSINV)</t>
  </si>
  <si>
    <t xml:space="preserve">MinTRL (periods needed at this confidence)</t>
  </si>
  <si>
    <t xml:space="preserve">How many periods of track record, at this sample's skew/kurtosis, would be needed to be this confident SR-hat truly exceeds SR*</t>
  </si>
  <si>
    <t xml:space="preserve">Track record adequate? (n vs. MinTRL)</t>
  </si>
  <si>
    <t xml:space="preserve">Position Sizing (Kelly &amp; Fixed Fractional)</t>
  </si>
  <si>
    <t xml:space="preserve">Win rate (%)</t>
  </si>
  <si>
    <t xml:space="preserve">Avg win / avg loss ratio (payoff ratio)</t>
  </si>
  <si>
    <t xml:space="preserve">Account equity ($)</t>
  </si>
  <si>
    <t xml:space="preserve">Max risk per trade (fixed-fractional, %)</t>
  </si>
  <si>
    <t xml:space="preserve">Kelly fraction = W - (1-W)/R</t>
  </si>
  <si>
    <t xml:space="preserve">Full Kelly is aggressive — most practitioners use 1/4 to 1/2 Kelly</t>
  </si>
  <si>
    <t xml:space="preserve">Half-Kelly position size ($)</t>
  </si>
  <si>
    <t xml:space="preserve">Fixed-fractional position size ($)</t>
  </si>
  <si>
    <t xml:space="preserve">Sources</t>
  </si>
  <si>
    <t xml:space="preserve">What each material assumption or convention in this model comes from.</t>
  </si>
  <si>
    <t xml:space="preserve">Assumption / convention</t>
  </si>
  <si>
    <t xml:space="preserve">Source</t>
  </si>
  <si>
    <t xml:space="preserve">As of</t>
  </si>
  <si>
    <t xml:space="preserve">Note</t>
  </si>
  <si>
    <t xml:space="preserve">Probabilistic Sharpe Ratio (PSR)</t>
  </si>
  <si>
    <t xml:space="preserve">Bailey, D. and Lopez de Prado, M. (2012), "The Sharpe Ratio Efficient Frontier"</t>
  </si>
  <si>
    <t xml:space="preserve">Peer-reviewed methodology</t>
  </si>
  <si>
    <t xml:space="preserve">Assumes returns are i.i.d. within the sample (no autocorrelation adjustment) -- a genuinely autocorrelated strategy needs a further effective-sample-size correction this doesn't apply</t>
  </si>
  <si>
    <t xml:space="preserve">Minimum Track Record Length (MinTRL)</t>
  </si>
  <si>
    <t xml:space="preserve">Bailey, D. and Lopez de Prado, M. (2012), same PSR paper</t>
  </si>
  <si>
    <t xml:space="preserve">A diagnostic for how much history is needed at the CURRENT sample's skew/kurtosis, not a guarantee those higher moments are stable out of sample</t>
  </si>
  <si>
    <t xml:space="preserve">Kelly criterion, W - (1-W)/R</t>
  </si>
  <si>
    <t xml:space="preserve">Kelly (1956) criterion for edge-optimal position sizing</t>
  </si>
  <si>
    <t xml:space="preserve">Standard practice</t>
  </si>
  <si>
    <t xml:space="preserve">Assumes win rate and payoff ratio are known and stationary -- in practice both are estimated with error, hence the 1/4-1/2 Kelly practitioner convention</t>
  </si>
  <si>
    <t xml:space="preserve">Sharpe/Sortino/max drawdown/CAPM beta-alpha</t>
  </si>
  <si>
    <t xml:space="preserve">Standard risk-adjusted performance measurement conventions</t>
  </si>
  <si>
    <t xml:space="preserve">Monthly-periodicity annualization (x12, xsqrt(12)) throughout -- would need adjustment for a different return frequency</t>
  </si>
  <si>
    <t xml:space="preserve">Checks</t>
  </si>
  <si>
    <t xml:space="preserve">Live reconciliation identities -- independent of the model's own formulas, must tie.</t>
  </si>
  <si>
    <t xml:space="preserve">Check</t>
  </si>
  <si>
    <t xml:space="preserve">Result</t>
  </si>
  <si>
    <t xml:space="preserve">Passes when</t>
  </si>
  <si>
    <t xml:space="preserve">PSR z-statistic sign matches whether SR-hat beats the benchmark (denominator is always positive)</t>
  </si>
  <si>
    <t xml:space="preserve">TRUE</t>
  </si>
  <si>
    <t xml:space="preserve">MinTRL is undefined (not a false low number) when SR-hat doesn't exceed SR*</t>
  </si>
  <si>
    <t xml:space="preserve">Max drawdown is always &lt;= 0 (a decline, never a gain, by definition)</t>
  </si>
  <si>
    <t xml:space="preserve">Half-Kelly is exactly half of full Kelly</t>
  </si>
  <si>
    <t xml:space="preserve">0 (exact) once account equity is populated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</si>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</sst>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%;\(0.00%\);\-"/>
    <numFmt numFmtId="166" formatCode="0.0000"/>
    <numFmt numFmtId="167" formatCode="0.0%;\(0.0%\);\-"/>
    <numFmt numFmtId="168" formatCode="0.00"/>
    <numFmt numFmtId="169" formatCode="#,##0;\(#,##0\);\-"/>
    <numFmt numFmtId="170" formatCode="0.000"/>
    <numFmt numFmtId="171" formatCode="0.0"/>
    <numFmt numFmtId="172" formatCode="\$#,##0;&quot;($&quot;#,##0\);\-"/>
    <numFmt numFmtId="173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2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8" min="5" style="1" width="14"/>
  </cols>
  <sheetData>
    <row r="2" customFormat="false" ht="19.7" hidden="false" customHeight="false" outlineLevel="0" collapsed="false">
      <c r="B2" s="2" t="s">
        <v>8</v>
      </c>
    </row>
    <row r="4" customFormat="false" ht="15" hidden="false" customHeight="false" outlineLevel="0" collapsed="false">
      <c r="B4" s="5" t="s">
        <v>9</v>
      </c>
    </row>
    <row r="5" customFormat="false" ht="15" hidden="false" customHeight="false" outlineLevel="0" collapsed="false">
      <c r="B5" s="6" t="s">
        <v>10</v>
      </c>
      <c r="C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</row>
    <row r="6" customFormat="false" ht="15" hidden="false" customHeight="false" outlineLevel="0" collapsed="false">
      <c r="B6" s="1" t="s">
        <v>16</v>
      </c>
      <c r="C6" s="7" t="n">
        <v>0</v>
      </c>
      <c r="E6" s="7" t="n">
        <v>0</v>
      </c>
      <c r="F6" s="8" t="n">
        <f aca="false">1*(1+C6)</f>
        <v>1</v>
      </c>
      <c r="G6" s="8" t="n">
        <f aca="false">MAX($F$6:F6)</f>
        <v>1</v>
      </c>
      <c r="H6" s="9" t="n">
        <f aca="false">IFERROR(F6/G6-1,"-")</f>
        <v>0</v>
      </c>
    </row>
    <row r="7" customFormat="false" ht="15" hidden="false" customHeight="false" outlineLevel="0" collapsed="false">
      <c r="B7" s="1" t="s">
        <v>17</v>
      </c>
      <c r="C7" s="7" t="n">
        <v>0</v>
      </c>
      <c r="E7" s="7" t="n">
        <v>0</v>
      </c>
      <c r="F7" s="8" t="n">
        <f aca="false">F6*(1+C7)</f>
        <v>1</v>
      </c>
      <c r="G7" s="8" t="n">
        <f aca="false">MAX($F$6:F7)</f>
        <v>1</v>
      </c>
      <c r="H7" s="9" t="n">
        <f aca="false">IFERROR(F7/G7-1,"-")</f>
        <v>0</v>
      </c>
    </row>
    <row r="8" customFormat="false" ht="15" hidden="false" customHeight="false" outlineLevel="0" collapsed="false">
      <c r="B8" s="1" t="s">
        <v>18</v>
      </c>
      <c r="C8" s="7" t="n">
        <v>0</v>
      </c>
      <c r="E8" s="7" t="n">
        <v>0</v>
      </c>
      <c r="F8" s="8" t="n">
        <f aca="false">F7*(1+C8)</f>
        <v>1</v>
      </c>
      <c r="G8" s="8" t="n">
        <f aca="false">MAX($F$6:F8)</f>
        <v>1</v>
      </c>
      <c r="H8" s="9" t="n">
        <f aca="false">IFERROR(F8/G8-1,"-")</f>
        <v>0</v>
      </c>
    </row>
    <row r="9" customFormat="false" ht="15" hidden="false" customHeight="false" outlineLevel="0" collapsed="false">
      <c r="B9" s="1" t="s">
        <v>19</v>
      </c>
      <c r="C9" s="7" t="n">
        <v>0</v>
      </c>
      <c r="E9" s="7" t="n">
        <v>0</v>
      </c>
      <c r="F9" s="8" t="n">
        <f aca="false">F8*(1+C9)</f>
        <v>1</v>
      </c>
      <c r="G9" s="8" t="n">
        <f aca="false">MAX($F$6:F9)</f>
        <v>1</v>
      </c>
      <c r="H9" s="9" t="n">
        <f aca="false">IFERROR(F9/G9-1,"-")</f>
        <v>0</v>
      </c>
    </row>
    <row r="10" customFormat="false" ht="15" hidden="false" customHeight="false" outlineLevel="0" collapsed="false">
      <c r="B10" s="1" t="s">
        <v>20</v>
      </c>
      <c r="C10" s="7" t="n">
        <v>0</v>
      </c>
      <c r="E10" s="7" t="n">
        <v>0</v>
      </c>
      <c r="F10" s="8" t="n">
        <f aca="false">F9*(1+C10)</f>
        <v>1</v>
      </c>
      <c r="G10" s="8" t="n">
        <f aca="false">MAX($F$6:F10)</f>
        <v>1</v>
      </c>
      <c r="H10" s="9" t="n">
        <f aca="false">IFERROR(F10/G10-1,"-")</f>
        <v>0</v>
      </c>
    </row>
    <row r="11" customFormat="false" ht="15" hidden="false" customHeight="false" outlineLevel="0" collapsed="false">
      <c r="B11" s="1" t="s">
        <v>21</v>
      </c>
      <c r="C11" s="7" t="n">
        <v>0</v>
      </c>
      <c r="E11" s="7" t="n">
        <v>0</v>
      </c>
      <c r="F11" s="8" t="n">
        <f aca="false">F10*(1+C11)</f>
        <v>1</v>
      </c>
      <c r="G11" s="8" t="n">
        <f aca="false">MAX($F$6:F11)</f>
        <v>1</v>
      </c>
      <c r="H11" s="9" t="n">
        <f aca="false">IFERROR(F11/G11-1,"-")</f>
        <v>0</v>
      </c>
    </row>
    <row r="12" customFormat="false" ht="15" hidden="false" customHeight="false" outlineLevel="0" collapsed="false">
      <c r="B12" s="1" t="s">
        <v>22</v>
      </c>
      <c r="C12" s="7" t="n">
        <v>0</v>
      </c>
      <c r="E12" s="7" t="n">
        <v>0</v>
      </c>
      <c r="F12" s="8" t="n">
        <f aca="false">F11*(1+C12)</f>
        <v>1</v>
      </c>
      <c r="G12" s="8" t="n">
        <f aca="false">MAX($F$6:F12)</f>
        <v>1</v>
      </c>
      <c r="H12" s="9" t="n">
        <f aca="false">IFERROR(F12/G12-1,"-")</f>
        <v>0</v>
      </c>
    </row>
    <row r="13" customFormat="false" ht="15" hidden="false" customHeight="false" outlineLevel="0" collapsed="false">
      <c r="B13" s="1" t="s">
        <v>23</v>
      </c>
      <c r="C13" s="7" t="n">
        <v>0</v>
      </c>
      <c r="E13" s="7" t="n">
        <v>0</v>
      </c>
      <c r="F13" s="8" t="n">
        <f aca="false">F12*(1+C13)</f>
        <v>1</v>
      </c>
      <c r="G13" s="8" t="n">
        <f aca="false">MAX($F$6:F13)</f>
        <v>1</v>
      </c>
      <c r="H13" s="9" t="n">
        <f aca="false">IFERROR(F13/G13-1,"-")</f>
        <v>0</v>
      </c>
    </row>
    <row r="14" customFormat="false" ht="15" hidden="false" customHeight="false" outlineLevel="0" collapsed="false">
      <c r="B14" s="1" t="s">
        <v>24</v>
      </c>
      <c r="C14" s="7" t="n">
        <v>0</v>
      </c>
      <c r="E14" s="7" t="n">
        <v>0</v>
      </c>
      <c r="F14" s="8" t="n">
        <f aca="false">F13*(1+C14)</f>
        <v>1</v>
      </c>
      <c r="G14" s="8" t="n">
        <f aca="false">MAX($F$6:F14)</f>
        <v>1</v>
      </c>
      <c r="H14" s="9" t="n">
        <f aca="false">IFERROR(F14/G14-1,"-")</f>
        <v>0</v>
      </c>
    </row>
    <row r="15" customFormat="false" ht="15" hidden="false" customHeight="false" outlineLevel="0" collapsed="false">
      <c r="B15" s="1" t="s">
        <v>25</v>
      </c>
      <c r="C15" s="7" t="n">
        <v>0</v>
      </c>
      <c r="E15" s="7" t="n">
        <v>0</v>
      </c>
      <c r="F15" s="8" t="n">
        <f aca="false">F14*(1+C15)</f>
        <v>1</v>
      </c>
      <c r="G15" s="8" t="n">
        <f aca="false">MAX($F$6:F15)</f>
        <v>1</v>
      </c>
      <c r="H15" s="9" t="n">
        <f aca="false">IFERROR(F15/G15-1,"-")</f>
        <v>0</v>
      </c>
    </row>
    <row r="16" customFormat="false" ht="15" hidden="false" customHeight="false" outlineLevel="0" collapsed="false">
      <c r="B16" s="1" t="s">
        <v>26</v>
      </c>
      <c r="C16" s="7" t="n">
        <v>0</v>
      </c>
      <c r="E16" s="7" t="n">
        <v>0</v>
      </c>
      <c r="F16" s="8" t="n">
        <f aca="false">F15*(1+C16)</f>
        <v>1</v>
      </c>
      <c r="G16" s="8" t="n">
        <f aca="false">MAX($F$6:F16)</f>
        <v>1</v>
      </c>
      <c r="H16" s="9" t="n">
        <f aca="false">IFERROR(F16/G16-1,"-")</f>
        <v>0</v>
      </c>
    </row>
    <row r="17" customFormat="false" ht="15" hidden="false" customHeight="false" outlineLevel="0" collapsed="false">
      <c r="B17" s="1" t="s">
        <v>27</v>
      </c>
      <c r="C17" s="7" t="n">
        <v>0</v>
      </c>
      <c r="E17" s="7" t="n">
        <v>0</v>
      </c>
      <c r="F17" s="8" t="n">
        <f aca="false">F16*(1+C17)</f>
        <v>1</v>
      </c>
      <c r="G17" s="8" t="n">
        <f aca="false">MAX($F$6:F17)</f>
        <v>1</v>
      </c>
      <c r="H17" s="9" t="n">
        <f aca="false">IFERROR(F17/G17-1,"-")</f>
        <v>0</v>
      </c>
    </row>
    <row r="18" customFormat="false" ht="15" hidden="false" customHeight="false" outlineLevel="0" collapsed="false">
      <c r="B18" s="1" t="s">
        <v>28</v>
      </c>
      <c r="C18" s="7" t="n">
        <v>0</v>
      </c>
      <c r="E18" s="7" t="n">
        <v>0</v>
      </c>
      <c r="F18" s="8" t="n">
        <f aca="false">F17*(1+C18)</f>
        <v>1</v>
      </c>
      <c r="G18" s="8" t="n">
        <f aca="false">MAX($F$6:F18)</f>
        <v>1</v>
      </c>
      <c r="H18" s="9" t="n">
        <f aca="false">IFERROR(F18/G18-1,"-")</f>
        <v>0</v>
      </c>
    </row>
    <row r="19" customFormat="false" ht="15" hidden="false" customHeight="false" outlineLevel="0" collapsed="false">
      <c r="B19" s="1" t="s">
        <v>29</v>
      </c>
      <c r="C19" s="7" t="n">
        <v>0</v>
      </c>
      <c r="E19" s="7" t="n">
        <v>0</v>
      </c>
      <c r="F19" s="8" t="n">
        <f aca="false">F18*(1+C19)</f>
        <v>1</v>
      </c>
      <c r="G19" s="8" t="n">
        <f aca="false">MAX($F$6:F19)</f>
        <v>1</v>
      </c>
      <c r="H19" s="9" t="n">
        <f aca="false">IFERROR(F19/G19-1,"-")</f>
        <v>0</v>
      </c>
    </row>
    <row r="20" customFormat="false" ht="15" hidden="false" customHeight="false" outlineLevel="0" collapsed="false">
      <c r="B20" s="1" t="s">
        <v>30</v>
      </c>
      <c r="C20" s="7" t="n">
        <v>0</v>
      </c>
      <c r="E20" s="7" t="n">
        <v>0</v>
      </c>
      <c r="F20" s="8" t="n">
        <f aca="false">F19*(1+C20)</f>
        <v>1</v>
      </c>
      <c r="G20" s="8" t="n">
        <f aca="false">MAX($F$6:F20)</f>
        <v>1</v>
      </c>
      <c r="H20" s="9" t="n">
        <f aca="false">IFERROR(F20/G20-1,"-")</f>
        <v>0</v>
      </c>
    </row>
    <row r="21" customFormat="false" ht="15" hidden="false" customHeight="false" outlineLevel="0" collapsed="false">
      <c r="B21" s="1" t="s">
        <v>31</v>
      </c>
      <c r="C21" s="7" t="n">
        <v>0</v>
      </c>
      <c r="E21" s="7" t="n">
        <v>0</v>
      </c>
      <c r="F21" s="8" t="n">
        <f aca="false">F20*(1+C21)</f>
        <v>1</v>
      </c>
      <c r="G21" s="8" t="n">
        <f aca="false">MAX($F$6:F21)</f>
        <v>1</v>
      </c>
      <c r="H21" s="9" t="n">
        <f aca="false">IFERROR(F21/G21-1,"-")</f>
        <v>0</v>
      </c>
    </row>
    <row r="22" customFormat="false" ht="15" hidden="false" customHeight="false" outlineLevel="0" collapsed="false">
      <c r="B22" s="1" t="s">
        <v>32</v>
      </c>
      <c r="C22" s="7" t="n">
        <v>0</v>
      </c>
      <c r="E22" s="7" t="n">
        <v>0</v>
      </c>
      <c r="F22" s="8" t="n">
        <f aca="false">F21*(1+C22)</f>
        <v>1</v>
      </c>
      <c r="G22" s="8" t="n">
        <f aca="false">MAX($F$6:F22)</f>
        <v>1</v>
      </c>
      <c r="H22" s="9" t="n">
        <f aca="false">IFERROR(F22/G22-1,"-")</f>
        <v>0</v>
      </c>
    </row>
    <row r="23" customFormat="false" ht="15" hidden="false" customHeight="false" outlineLevel="0" collapsed="false">
      <c r="B23" s="1" t="s">
        <v>33</v>
      </c>
      <c r="C23" s="7" t="n">
        <v>0</v>
      </c>
      <c r="E23" s="7" t="n">
        <v>0</v>
      </c>
      <c r="F23" s="8" t="n">
        <f aca="false">F22*(1+C23)</f>
        <v>1</v>
      </c>
      <c r="G23" s="8" t="n">
        <f aca="false">MAX($F$6:F23)</f>
        <v>1</v>
      </c>
      <c r="H23" s="9" t="n">
        <f aca="false">IFERROR(F23/G23-1,"-")</f>
        <v>0</v>
      </c>
    </row>
    <row r="24" customFormat="false" ht="15" hidden="false" customHeight="false" outlineLevel="0" collapsed="false">
      <c r="B24" s="1" t="s">
        <v>34</v>
      </c>
      <c r="C24" s="7" t="n">
        <v>0</v>
      </c>
      <c r="E24" s="7" t="n">
        <v>0</v>
      </c>
      <c r="F24" s="8" t="n">
        <f aca="false">F23*(1+C24)</f>
        <v>1</v>
      </c>
      <c r="G24" s="8" t="n">
        <f aca="false">MAX($F$6:F24)</f>
        <v>1</v>
      </c>
      <c r="H24" s="9" t="n">
        <f aca="false">IFERROR(F24/G24-1,"-")</f>
        <v>0</v>
      </c>
    </row>
    <row r="25" customFormat="false" ht="15" hidden="false" customHeight="false" outlineLevel="0" collapsed="false">
      <c r="B25" s="1" t="s">
        <v>35</v>
      </c>
      <c r="C25" s="7" t="n">
        <v>0</v>
      </c>
      <c r="E25" s="7" t="n">
        <v>0</v>
      </c>
      <c r="F25" s="8" t="n">
        <f aca="false">F24*(1+C25)</f>
        <v>1</v>
      </c>
      <c r="G25" s="8" t="n">
        <f aca="false">MAX($F$6:F25)</f>
        <v>1</v>
      </c>
      <c r="H25" s="9" t="n">
        <f aca="false">IFERROR(F25/G25-1,"-")</f>
        <v>0</v>
      </c>
    </row>
    <row r="26" customFormat="false" ht="15" hidden="false" customHeight="false" outlineLevel="0" collapsed="false">
      <c r="B26" s="1" t="s">
        <v>36</v>
      </c>
      <c r="C26" s="7" t="n">
        <v>0</v>
      </c>
      <c r="E26" s="7" t="n">
        <v>0</v>
      </c>
      <c r="F26" s="8" t="n">
        <f aca="false">F25*(1+C26)</f>
        <v>1</v>
      </c>
      <c r="G26" s="8" t="n">
        <f aca="false">MAX($F$6:F26)</f>
        <v>1</v>
      </c>
      <c r="H26" s="9" t="n">
        <f aca="false">IFERROR(F26/G26-1,"-")</f>
        <v>0</v>
      </c>
    </row>
    <row r="27" customFormat="false" ht="15" hidden="false" customHeight="false" outlineLevel="0" collapsed="false">
      <c r="B27" s="1" t="s">
        <v>37</v>
      </c>
      <c r="C27" s="7" t="n">
        <v>0</v>
      </c>
      <c r="E27" s="7" t="n">
        <v>0</v>
      </c>
      <c r="F27" s="8" t="n">
        <f aca="false">F26*(1+C27)</f>
        <v>1</v>
      </c>
      <c r="G27" s="8" t="n">
        <f aca="false">MAX($F$6:F27)</f>
        <v>1</v>
      </c>
      <c r="H27" s="9" t="n">
        <f aca="false">IFERROR(F27/G27-1,"-")</f>
        <v>0</v>
      </c>
    </row>
    <row r="28" customFormat="false" ht="15" hidden="false" customHeight="false" outlineLevel="0" collapsed="false">
      <c r="B28" s="1" t="s">
        <v>38</v>
      </c>
      <c r="C28" s="7" t="n">
        <v>0</v>
      </c>
      <c r="E28" s="7" t="n">
        <v>0</v>
      </c>
      <c r="F28" s="8" t="n">
        <f aca="false">F27*(1+C28)</f>
        <v>1</v>
      </c>
      <c r="G28" s="8" t="n">
        <f aca="false">MAX($F$6:F28)</f>
        <v>1</v>
      </c>
      <c r="H28" s="9" t="n">
        <f aca="false">IFERROR(F28/G28-1,"-")</f>
        <v>0</v>
      </c>
    </row>
    <row r="29" customFormat="false" ht="15" hidden="false" customHeight="false" outlineLevel="0" collapsed="false">
      <c r="B29" s="1" t="s">
        <v>39</v>
      </c>
      <c r="C29" s="7" t="n">
        <v>0</v>
      </c>
      <c r="E29" s="7" t="n">
        <v>0</v>
      </c>
      <c r="F29" s="8" t="n">
        <f aca="false">F28*(1+C29)</f>
        <v>1</v>
      </c>
      <c r="G29" s="8" t="n">
        <f aca="false">MAX($F$6:F29)</f>
        <v>1</v>
      </c>
      <c r="H29" s="9" t="n">
        <f aca="false">IFERROR(F29/G29-1,"-")</f>
        <v>0</v>
      </c>
    </row>
    <row r="32" customFormat="false" ht="15" hidden="false" customHeight="false" outlineLevel="0" collapsed="false">
      <c r="B32" s="1" t="s">
        <v>40</v>
      </c>
      <c r="C32" s="10" t="n">
        <v>0.045</v>
      </c>
    </row>
    <row r="34" customFormat="false" ht="15" hidden="false" customHeight="false" outlineLevel="0" collapsed="false">
      <c r="B34" s="11" t="s">
        <v>41</v>
      </c>
    </row>
    <row r="35" customFormat="false" ht="15" hidden="false" customHeight="false" outlineLevel="0" collapsed="false">
      <c r="B35" s="1" t="s">
        <v>42</v>
      </c>
      <c r="C35" s="12" t="n">
        <f aca="false">AVERAGE(C6:C29)</f>
        <v>0</v>
      </c>
    </row>
    <row r="36" customFormat="false" ht="15" hidden="false" customHeight="false" outlineLevel="0" collapsed="false">
      <c r="B36" s="1" t="s">
        <v>43</v>
      </c>
      <c r="C36" s="12" t="n">
        <f aca="false">STDEV(C6:C29)</f>
        <v>0</v>
      </c>
    </row>
    <row r="37" customFormat="false" ht="15" hidden="false" customHeight="false" outlineLevel="0" collapsed="false">
      <c r="B37" s="1" t="s">
        <v>44</v>
      </c>
      <c r="C37" s="9" t="n">
        <f aca="false">(1+C35)^12-1</f>
        <v>0</v>
      </c>
    </row>
    <row r="38" customFormat="false" ht="15" hidden="false" customHeight="false" outlineLevel="0" collapsed="false">
      <c r="B38" s="1" t="s">
        <v>45</v>
      </c>
      <c r="C38" s="9" t="n">
        <f aca="false">C36*SQRT(12)</f>
        <v>0</v>
      </c>
    </row>
    <row r="39" customFormat="false" ht="15" hidden="false" customHeight="false" outlineLevel="0" collapsed="false">
      <c r="B39" s="1" t="s">
        <v>46</v>
      </c>
      <c r="C39" s="13" t="str">
        <f aca="false">IFERROR((C37-C32)/C38,"-")</f>
        <v>-</v>
      </c>
    </row>
    <row r="40" customFormat="false" ht="15" hidden="false" customHeight="false" outlineLevel="0" collapsed="false">
      <c r="B40" s="1" t="s">
        <v>47</v>
      </c>
      <c r="C40" s="9" t="str">
        <f aca="false">IFERROR(SQRT(SUMPRODUCT((C6:C29&lt;0)*(C6:C29)^2)/COUNTIF(C6:C29,"&lt;0"))*SQRT(12),"-")</f>
        <v>-</v>
      </c>
    </row>
    <row r="41" customFormat="false" ht="15" hidden="false" customHeight="false" outlineLevel="0" collapsed="false">
      <c r="B41" s="1" t="s">
        <v>48</v>
      </c>
      <c r="C41" s="13" t="str">
        <f aca="false">IFERROR((C37-C32)/C40,"-")</f>
        <v>-</v>
      </c>
    </row>
    <row r="42" customFormat="false" ht="15" hidden="false" customHeight="false" outlineLevel="0" collapsed="false">
      <c r="B42" s="1" t="s">
        <v>49</v>
      </c>
      <c r="C42" s="14" t="n">
        <f aca="false">MIN(H6:H29)</f>
        <v>0</v>
      </c>
      <c r="D42" s="5" t="s">
        <v>50</v>
      </c>
    </row>
    <row r="44" customFormat="false" ht="15" hidden="false" customHeight="false" outlineLevel="0" collapsed="false">
      <c r="B44" s="11" t="s">
        <v>51</v>
      </c>
    </row>
    <row r="45" customFormat="false" ht="15" hidden="false" customHeight="false" outlineLevel="0" collapsed="false">
      <c r="B45" s="1" t="s">
        <v>52</v>
      </c>
      <c r="C45" s="12" t="n">
        <f aca="false">AVERAGE(E6:E29)</f>
        <v>0</v>
      </c>
    </row>
    <row r="46" customFormat="false" ht="15" hidden="false" customHeight="false" outlineLevel="0" collapsed="false">
      <c r="B46" s="1" t="s">
        <v>53</v>
      </c>
      <c r="C46" s="9" t="n">
        <f aca="false">(1+C45)^12-1</f>
        <v>0</v>
      </c>
    </row>
    <row r="47" customFormat="false" ht="15" hidden="false" customHeight="false" outlineLevel="0" collapsed="false">
      <c r="B47" s="1" t="s">
        <v>54</v>
      </c>
      <c r="C47" s="13" t="str">
        <f aca="false">IFERROR(SLOPE(C6:C29,E6:E29),"-")</f>
        <v>-</v>
      </c>
    </row>
    <row r="48" customFormat="false" ht="15" hidden="false" customHeight="false" outlineLevel="0" collapsed="false">
      <c r="B48" s="1" t="s">
        <v>55</v>
      </c>
      <c r="C48" s="9" t="str">
        <f aca="false">IFERROR(RSQ(C6:C29,E6:E29),"-")</f>
        <v>-</v>
      </c>
    </row>
    <row r="49" customFormat="false" ht="15" hidden="false" customHeight="false" outlineLevel="0" collapsed="false">
      <c r="B49" s="1" t="s">
        <v>56</v>
      </c>
      <c r="C49" s="14" t="str">
        <f aca="false">IFERROR(C37-(C32+C47*(C46-C32)),"-")</f>
        <v>-</v>
      </c>
      <c r="D49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58</v>
      </c>
    </row>
    <row r="3" customFormat="false" ht="15" hidden="false" customHeight="false" outlineLevel="0" collapsed="false">
      <c r="B3" s="5" t="s">
        <v>59</v>
      </c>
    </row>
    <row r="5" customFormat="false" ht="15" hidden="false" customHeight="false" outlineLevel="0" collapsed="false">
      <c r="B5" s="11" t="s">
        <v>60</v>
      </c>
    </row>
    <row r="6" customFormat="false" ht="15" hidden="false" customHeight="false" outlineLevel="0" collapsed="false">
      <c r="B6" s="1" t="s">
        <v>61</v>
      </c>
      <c r="C6" s="15" t="n">
        <v>0</v>
      </c>
    </row>
    <row r="7" customFormat="false" ht="15" hidden="false" customHeight="false" outlineLevel="0" collapsed="false">
      <c r="B7" s="1" t="s">
        <v>62</v>
      </c>
      <c r="C7" s="16" t="n">
        <v>0.95</v>
      </c>
    </row>
    <row r="9" customFormat="false" ht="15" hidden="false" customHeight="false" outlineLevel="0" collapsed="false">
      <c r="B9" s="11" t="s">
        <v>63</v>
      </c>
    </row>
    <row r="10" customFormat="false" ht="15" hidden="false" customHeight="false" outlineLevel="0" collapsed="false">
      <c r="B10" s="1" t="s">
        <v>64</v>
      </c>
      <c r="C10" s="17" t="n">
        <f aca="false">COUNT('Returns &amp; Sharpe'!C6:C29)</f>
        <v>24</v>
      </c>
    </row>
    <row r="11" customFormat="false" ht="15" hidden="false" customHeight="false" outlineLevel="0" collapsed="false">
      <c r="B11" s="1" t="s">
        <v>65</v>
      </c>
      <c r="C11" s="18" t="str">
        <f aca="false">IFERROR(SKEW('Returns &amp; Sharpe'!C6:C29),"-")</f>
        <v>-</v>
      </c>
    </row>
    <row r="12" customFormat="false" ht="15" hidden="false" customHeight="false" outlineLevel="0" collapsed="false">
      <c r="B12" s="1" t="s">
        <v>66</v>
      </c>
      <c r="C12" s="18" t="str">
        <f aca="false">IFERROR(KURT('Returns &amp; Sharpe'!C6:C29),"-")</f>
        <v>-</v>
      </c>
    </row>
    <row r="13" customFormat="false" ht="15" hidden="false" customHeight="false" outlineLevel="0" collapsed="false">
      <c r="B13" s="1" t="s">
        <v>67</v>
      </c>
      <c r="C13" s="19" t="str">
        <f aca="false">IFERROR(('Returns &amp; Sharpe'!C35-'Returns &amp; Sharpe'!C32/12)/'Returns &amp; Sharpe'!C36,"-")</f>
        <v>-</v>
      </c>
    </row>
    <row r="15" customFormat="false" ht="15" hidden="false" customHeight="false" outlineLevel="0" collapsed="false">
      <c r="B15" s="11" t="s">
        <v>68</v>
      </c>
    </row>
    <row r="16" customFormat="false" ht="15" hidden="false" customHeight="false" outlineLevel="0" collapsed="false">
      <c r="B16" s="1" t="s">
        <v>69</v>
      </c>
      <c r="C16" s="8" t="str">
        <f aca="false">IFERROR(SQRT(1-C11*C13+(C12+2)/4*C13^2),"-")</f>
        <v>-</v>
      </c>
      <c r="D16" s="5" t="s">
        <v>70</v>
      </c>
    </row>
    <row r="17" customFormat="false" ht="15" hidden="false" customHeight="false" outlineLevel="0" collapsed="false">
      <c r="B17" s="1" t="s">
        <v>71</v>
      </c>
      <c r="C17" s="8" t="str">
        <f aca="false">IFERROR((C13-C6)*SQRT(C10-1)/C16,"-")</f>
        <v>-</v>
      </c>
    </row>
    <row r="18" customFormat="false" ht="15" hidden="false" customHeight="false" outlineLevel="0" collapsed="false">
      <c r="B18" s="1" t="s">
        <v>72</v>
      </c>
      <c r="C18" s="20" t="str">
        <f aca="false">IFERROR(NORMSDIST(C17),"-")</f>
        <v>-</v>
      </c>
      <c r="D18" s="5" t="s">
        <v>73</v>
      </c>
    </row>
    <row r="20" customFormat="false" ht="15" hidden="false" customHeight="false" outlineLevel="0" collapsed="false">
      <c r="B20" s="11" t="s">
        <v>74</v>
      </c>
    </row>
    <row r="21" customFormat="false" ht="15" hidden="false" customHeight="false" outlineLevel="0" collapsed="false">
      <c r="B21" s="1" t="s">
        <v>75</v>
      </c>
      <c r="C21" s="8" t="n">
        <f aca="false">IFERROR(NORMSINV(C7),"-")</f>
        <v>1.64485362695147</v>
      </c>
    </row>
    <row r="22" customFormat="false" ht="15" hidden="false" customHeight="false" outlineLevel="0" collapsed="false">
      <c r="B22" s="1" t="s">
        <v>76</v>
      </c>
      <c r="C22" s="21" t="str">
        <f aca="false">IFERROR(IF(C13&lt;=C6,"undefined -- SR-hat must exceed SR*",1+(1-C11*C13+(C12+2)/4*C13^2)*(C21/(C13-C6))^2),"-")</f>
        <v>-</v>
      </c>
      <c r="D22" s="5" t="s">
        <v>77</v>
      </c>
    </row>
    <row r="23" customFormat="false" ht="15" hidden="false" customHeight="false" outlineLevel="0" collapsed="false">
      <c r="B23" s="1" t="s">
        <v>78</v>
      </c>
      <c r="C23" s="3" t="str">
        <f aca="false">IF(OR(NOT(ISNUMBER(C22)),NOT(ISNUMBER(C10))),"-",IF(C10&gt;=C22,"ADEQUATE","TOO SHORT -- treat SR-hat with caution"))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79</v>
      </c>
    </row>
    <row r="5" customFormat="false" ht="15" hidden="false" customHeight="false" outlineLevel="0" collapsed="false">
      <c r="B5" s="22" t="s">
        <v>80</v>
      </c>
      <c r="C5" s="16" t="n">
        <v>0.55</v>
      </c>
    </row>
    <row r="6" customFormat="false" ht="15" hidden="false" customHeight="false" outlineLevel="0" collapsed="false">
      <c r="B6" s="22" t="s">
        <v>81</v>
      </c>
      <c r="C6" s="15" t="n">
        <v>1.5</v>
      </c>
    </row>
    <row r="7" customFormat="false" ht="15" hidden="false" customHeight="false" outlineLevel="0" collapsed="false">
      <c r="B7" s="22" t="s">
        <v>82</v>
      </c>
      <c r="C7" s="23" t="n">
        <v>0</v>
      </c>
    </row>
    <row r="8" customFormat="false" ht="15" hidden="false" customHeight="false" outlineLevel="0" collapsed="false">
      <c r="B8" s="22" t="s">
        <v>83</v>
      </c>
      <c r="C8" s="16" t="n">
        <v>0.01</v>
      </c>
    </row>
    <row r="10" customFormat="false" ht="15" hidden="false" customHeight="false" outlineLevel="0" collapsed="false">
      <c r="B10" s="1" t="s">
        <v>84</v>
      </c>
      <c r="C10" s="14" t="n">
        <f aca="false">C5-(1-C5)/C6</f>
        <v>0.25</v>
      </c>
      <c r="D10" s="5" t="s">
        <v>85</v>
      </c>
    </row>
    <row r="11" customFormat="false" ht="15" hidden="false" customHeight="false" outlineLevel="0" collapsed="false">
      <c r="B11" s="1" t="s">
        <v>86</v>
      </c>
      <c r="C11" s="24" t="n">
        <f aca="false">IFERROR(C7*C10/2,"-")</f>
        <v>0</v>
      </c>
    </row>
    <row r="12" customFormat="false" ht="15" hidden="false" customHeight="false" outlineLevel="0" collapsed="false">
      <c r="B12" s="1" t="s">
        <v>87</v>
      </c>
      <c r="C12" s="24" t="n">
        <f aca="false">C7*C8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46"/>
  </cols>
  <sheetData>
    <row r="2" customFormat="false" ht="19.7" hidden="false" customHeight="false" outlineLevel="0" collapsed="false">
      <c r="B2" s="2" t="s">
        <v>88</v>
      </c>
    </row>
    <row r="3" customFormat="false" ht="15" hidden="false" customHeight="false" outlineLevel="0" collapsed="false">
      <c r="B3" s="5" t="s">
        <v>89</v>
      </c>
    </row>
    <row r="5" customFormat="false" ht="15" hidden="false" customHeight="false" outlineLevel="0" collapsed="false">
      <c r="B5" s="6" t="s">
        <v>90</v>
      </c>
      <c r="C5" s="6" t="s">
        <v>91</v>
      </c>
      <c r="D5" s="6" t="s">
        <v>92</v>
      </c>
      <c r="E5" s="6" t="s">
        <v>93</v>
      </c>
    </row>
    <row r="6" customFormat="false" ht="15" hidden="false" customHeight="false" outlineLevel="0" collapsed="false">
      <c r="B6" s="25" t="s">
        <v>94</v>
      </c>
      <c r="C6" s="25" t="s">
        <v>95</v>
      </c>
      <c r="D6" s="25" t="s">
        <v>96</v>
      </c>
      <c r="E6" s="26" t="s">
        <v>97</v>
      </c>
    </row>
    <row r="7" customFormat="false" ht="15" hidden="false" customHeight="false" outlineLevel="0" collapsed="false">
      <c r="B7" s="25" t="s">
        <v>98</v>
      </c>
      <c r="C7" s="25" t="s">
        <v>99</v>
      </c>
      <c r="D7" s="25" t="s">
        <v>96</v>
      </c>
      <c r="E7" s="26" t="s">
        <v>100</v>
      </c>
    </row>
    <row r="8" customFormat="false" ht="15" hidden="false" customHeight="false" outlineLevel="0" collapsed="false">
      <c r="B8" s="25" t="s">
        <v>101</v>
      </c>
      <c r="C8" s="25" t="s">
        <v>102</v>
      </c>
      <c r="D8" s="25" t="s">
        <v>103</v>
      </c>
      <c r="E8" s="26" t="s">
        <v>104</v>
      </c>
    </row>
    <row r="9" customFormat="false" ht="15" hidden="false" customHeight="false" outlineLevel="0" collapsed="false">
      <c r="B9" s="25" t="s">
        <v>105</v>
      </c>
      <c r="C9" s="25" t="s">
        <v>106</v>
      </c>
      <c r="D9" s="25" t="s">
        <v>103</v>
      </c>
      <c r="E9" s="2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108</v>
      </c>
    </row>
    <row r="3" customFormat="false" ht="15" hidden="false" customHeight="false" outlineLevel="0" collapsed="false">
      <c r="B3" s="5" t="s">
        <v>109</v>
      </c>
    </row>
    <row r="5" customFormat="false" ht="15" hidden="false" customHeight="false" outlineLevel="0" collapsed="false">
      <c r="B5" s="6" t="s">
        <v>110</v>
      </c>
      <c r="C5" s="6" t="s">
        <v>111</v>
      </c>
      <c r="D5" s="6" t="s">
        <v>112</v>
      </c>
    </row>
    <row r="6" customFormat="false" ht="15" hidden="false" customHeight="false" outlineLevel="0" collapsed="false">
      <c r="B6" s="25" t="s">
        <v>113</v>
      </c>
      <c r="C6" s="27" t="b">
        <f aca="false">IF(NOT(ISNUMBER('Statistical Significance'!C17)),TRUE(),IF('Statistical Significance'!C13&gt;='Statistical Significance'!C6,'Statistical Significance'!C17&gt;=0,'Statistical Significance'!C17&lt;=0))</f>
        <v>1</v>
      </c>
      <c r="D6" s="26" t="s">
        <v>114</v>
      </c>
    </row>
    <row r="7" customFormat="false" ht="15" hidden="false" customHeight="false" outlineLevel="0" collapsed="false">
      <c r="B7" s="25" t="s">
        <v>115</v>
      </c>
      <c r="C7" s="27" t="b">
        <f aca="false">IF('Statistical Significance'!C13&lt;='Statistical Significance'!C6,'Statistical Significance'!C22="undefined -- SR-hat must exceed SR*",TRUE())</f>
        <v>1</v>
      </c>
      <c r="D7" s="26" t="s">
        <v>114</v>
      </c>
    </row>
    <row r="8" customFormat="false" ht="15" hidden="false" customHeight="false" outlineLevel="0" collapsed="false">
      <c r="B8" s="25" t="s">
        <v>116</v>
      </c>
      <c r="C8" s="27" t="b">
        <f aca="false">IF(ISNUMBER('Returns &amp; Sharpe'!C42),'Returns &amp; Sharpe'!C42&lt;=0,TRUE())</f>
        <v>1</v>
      </c>
      <c r="D8" s="26" t="s">
        <v>114</v>
      </c>
    </row>
    <row r="9" customFormat="false" ht="15" hidden="false" customHeight="false" outlineLevel="0" collapsed="false">
      <c r="B9" s="25" t="s">
        <v>117</v>
      </c>
      <c r="C9" s="27" t="n">
        <f aca="false">IFERROR('Position Sizing'!C11-('Position Sizing'!C7*'Position Sizing'!C10/2),"-")</f>
        <v>0</v>
      </c>
      <c r="D9" s="26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119</v>
      </c>
    </row>
    <row r="4" customFormat="false" ht="15" hidden="false" customHeight="false" outlineLevel="0" collapsed="false">
      <c r="B4" s="6" t="s">
        <v>120</v>
      </c>
      <c r="C4" s="6" t="s">
        <v>121</v>
      </c>
      <c r="D4" s="6" t="s">
        <v>122</v>
      </c>
      <c r="E4" s="6" t="s">
        <v>123</v>
      </c>
      <c r="F4" s="6" t="s">
        <v>124</v>
      </c>
    </row>
    <row r="5" customFormat="false" ht="15" hidden="false" customHeight="false" outlineLevel="0" collapsed="false">
      <c r="B5" s="28"/>
      <c r="C5" s="28"/>
      <c r="D5" s="28"/>
      <c r="E5" s="28"/>
      <c r="F5" s="28"/>
    </row>
    <row r="6" customFormat="false" ht="15" hidden="false" customHeight="false" outlineLevel="0" collapsed="false">
      <c r="B6" s="28"/>
      <c r="C6" s="28"/>
      <c r="D6" s="28"/>
      <c r="E6" s="28"/>
      <c r="F6" s="28"/>
    </row>
    <row r="7" customFormat="false" ht="15" hidden="false" customHeight="false" outlineLevel="0" collapsed="false">
      <c r="B7" s="28"/>
      <c r="C7" s="28"/>
      <c r="D7" s="28"/>
      <c r="E7" s="28"/>
      <c r="F7" s="28"/>
    </row>
    <row r="8" customFormat="false" ht="15" hidden="false" customHeight="false" outlineLevel="0" collapsed="false">
      <c r="B8" s="28"/>
      <c r="C8" s="28"/>
      <c r="D8" s="28"/>
      <c r="E8" s="28"/>
      <c r="F8" s="28"/>
    </row>
    <row r="9" customFormat="false" ht="15" hidden="false" customHeight="false" outlineLevel="0" collapsed="false">
      <c r="B9" s="28"/>
      <c r="C9" s="28"/>
      <c r="D9" s="28"/>
      <c r="E9" s="28"/>
      <c r="F9" s="28"/>
    </row>
    <row r="10" customFormat="false" ht="15" hidden="false" customHeight="false" outlineLevel="0" collapsed="false">
      <c r="B10" s="28"/>
      <c r="C10" s="28"/>
      <c r="D10" s="28"/>
      <c r="E10" s="28"/>
      <c r="F10" s="28"/>
    </row>
    <row r="11" customFormat="false" ht="15" hidden="false" customHeight="false" outlineLevel="0" collapsed="false">
      <c r="B11" s="28"/>
      <c r="C11" s="28"/>
      <c r="D11" s="28"/>
      <c r="E11" s="28"/>
      <c r="F11" s="28"/>
    </row>
    <row r="12" customFormat="false" ht="15" hidden="false" customHeight="false" outlineLevel="0" collapsed="false">
      <c r="B12" s="28"/>
      <c r="C12" s="28"/>
      <c r="D12" s="28"/>
      <c r="E12" s="28"/>
      <c r="F12" s="28"/>
    </row>
    <row r="13" customFormat="false" ht="15" hidden="false" customHeight="false" outlineLevel="0" collapsed="false">
      <c r="B13" s="28"/>
      <c r="C13" s="28"/>
      <c r="D13" s="28"/>
      <c r="E13" s="28"/>
      <c r="F13" s="28"/>
    </row>
    <row r="14" customFormat="false" ht="15" hidden="false" customHeight="false" outlineLevel="0" collapsed="false">
      <c r="B14" s="28"/>
      <c r="C14" s="28"/>
      <c r="D14" s="28"/>
      <c r="E14" s="28"/>
      <c r="F14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2026-08-04T14:30:55Z</dcterms:created>
  <dc:creator>openpyxl</dc:creator>
  <dc:description/>
  <dc:language>en-US</dc:language>
  <cp:lastModifiedBy/>
  <dcterms:modified xsi:type="dcterms:W3CDTF">2026-08-04T14:30:55Z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