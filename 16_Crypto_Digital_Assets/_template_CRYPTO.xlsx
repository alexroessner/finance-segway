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okenomics" sheetId="2" state="visible" r:id="rId4"/>
    <sheet name="Valuation" sheetId="3" state="visible" r:id="rId5"/>
    <sheet name="Staking Yield" sheetId="4" state="visible" r:id="rId6"/>
    <sheet name="Comparable Protocols" sheetId="5" state="visible" r:id="rId7"/>
    <sheet name="Supply Emission Schedule" sheetId="6" state="visible" r:id="rId8"/>
    <sheet name="Refresh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<sst xmlns="http://schemas.openxmlformats.org/spreadsheetml/2006/main" count="95" uniqueCount="76">
  <si>
    <t xml:space="preserve">[TOKEN] — Crypto / Digital Asset Model</t>
  </si>
  <si>
    <t xml:space="preserve">Protocol:</t>
  </si>
  <si>
    <t xml:space="preserve">[fill in]</t>
  </si>
  <si>
    <t xml:space="preserve">Chain / L1-L2:</t>
  </si>
  <si>
    <t xml:space="preserve">Last refreshed:</t>
  </si>
  <si>
    <t xml:space="preserve">[date]</t>
  </si>
  <si>
    <t xml:space="preserve">Next unlock/emission event:</t>
  </si>
  <si>
    <t xml:space="preserve">Refresh cadence:</t>
  </si>
  <si>
    <t xml:space="preserve">Weekly (daily around unlocks)</t>
  </si>
  <si>
    <t xml:space="preserve">Tokenomics — Supply Schedule</t>
  </si>
  <si>
    <t xml:space="preserve">Allocation</t>
  </si>
  <si>
    <t xml:space="preserve">Tokens</t>
  </si>
  <si>
    <t xml:space="preserve">% of max supply</t>
  </si>
  <si>
    <t xml:space="preserve">Unlock start</t>
  </si>
  <si>
    <t xml:space="preserve">Vesting notes</t>
  </si>
  <si>
    <t xml:space="preserve">Public / community</t>
  </si>
  <si>
    <t xml:space="preserve">[cliff / linear vesting terms]</t>
  </si>
  <si>
    <t xml:space="preserve">Team &amp; advisors</t>
  </si>
  <si>
    <t xml:space="preserve">Investors (seed/private)</t>
  </si>
  <si>
    <t xml:space="preserve">Treasury / foundation</t>
  </si>
  <si>
    <t xml:space="preserve">Ecosystem incentives / staking rewards</t>
  </si>
  <si>
    <t xml:space="preserve">Max supply</t>
  </si>
  <si>
    <t xml:space="preserve">Circulating supply (today)</t>
  </si>
  <si>
    <t xml:space="preserve">Circulating / max supply %</t>
  </si>
  <si>
    <t xml:space="preserve">On-Chain Valuation Multiples</t>
  </si>
  <si>
    <t xml:space="preserve">Inputs</t>
  </si>
  <si>
    <t xml:space="preserve">Token price</t>
  </si>
  <si>
    <t xml:space="preserve">Total value locked (TVL, $)</t>
  </si>
  <si>
    <t xml:space="preserve">Annualized protocol revenue/fees ($)</t>
  </si>
  <si>
    <t xml:space="preserve">Daily transaction volume ($, trailing 30d avg)</t>
  </si>
  <si>
    <t xml:space="preserve">Outputs</t>
  </si>
  <si>
    <t xml:space="preserve">Market cap (circulating)</t>
  </si>
  <si>
    <t xml:space="preserve">Fully diluted valuation (FDV)</t>
  </si>
  <si>
    <t xml:space="preserve">Market cap / TVL</t>
  </si>
  <si>
    <t xml:space="preserve">FDV / TVL</t>
  </si>
  <si>
    <t xml:space="preserve">P/S equivalent (Mkt cap / annualized revenue)</t>
  </si>
  <si>
    <t xml:space="preserve">NVT ratio (Mkt cap / daily volume, annualized)</t>
  </si>
  <si>
    <t xml:space="preserve">High NVT = valuation rich relative to network usage (P/E-style read)</t>
  </si>
  <si>
    <t xml:space="preserve">Staking / Yield Model</t>
  </si>
  <si>
    <t xml:space="preserve">% of supply staked</t>
  </si>
  <si>
    <t xml:space="preserve">Annual token emissions (new supply, tokens)</t>
  </si>
  <si>
    <t xml:space="preserve">Protocol fee revenue distributed to stakers ($)</t>
  </si>
  <si>
    <t xml:space="preserve">Token price (for $ yield calc)</t>
  </si>
  <si>
    <t xml:space="preserve">Tokens staked</t>
  </si>
  <si>
    <t xml:space="preserve">Inflationary yield (emissions / staked)</t>
  </si>
  <si>
    <t xml:space="preserve">Real yield (fee revenue / staked value)</t>
  </si>
  <si>
    <t xml:space="preserve">Net staking yield (real - inflation dilution)</t>
  </si>
  <si>
    <t xml:space="preserve">Negative = staking rewards are pure dilution, not real cash flow</t>
  </si>
  <si>
    <t xml:space="preserve">Comparable Protocols</t>
  </si>
  <si>
    <t xml:space="preserve">Protocol</t>
  </si>
  <si>
    <t xml:space="preserve">Mkt cap</t>
  </si>
  <si>
    <t xml:space="preserve">FDV</t>
  </si>
  <si>
    <t xml:space="preserve">TVL</t>
  </si>
  <si>
    <t xml:space="preserve">Daily volume</t>
  </si>
  <si>
    <t xml:space="preserve">Mkt/TVL</t>
  </si>
  <si>
    <t xml:space="preserve">FDV/TVL</t>
  </si>
  <si>
    <t xml:space="preserve">NVT</t>
  </si>
  <si>
    <t xml:space="preserve">This protocol</t>
  </si>
  <si>
    <t xml:space="preserve">Forward Supply Emission &amp; Dilution</t>
  </si>
  <si>
    <t xml:space="preserve">Annual emission rate (% of max supply issued/yr)</t>
  </si>
  <si>
    <t xml:space="preserve">Simplified: assumes a flat schedule. Real unlocks are usually cliff + linear per allocation — treat this as a planning approximation, not a substitute for the actual unlock table.</t>
  </si>
  <si>
    <t xml:space="preserve">Period 0</t>
  </si>
  <si>
    <t xml:space="preserve">Period 1</t>
  </si>
  <si>
    <t xml:space="preserve">Period 2</t>
  </si>
  <si>
    <t xml:space="preserve">Period 3</t>
  </si>
  <si>
    <t xml:space="preserve">Period 4</t>
  </si>
  <si>
    <t xml:space="preserve">Circulating supply</t>
  </si>
  <si>
    <t xml:space="preserve">Cumulative dilution vs. today</t>
  </si>
  <si>
    <t xml:space="preserve">Implied mkt cap at today's price (if price held flat)</t>
  </si>
  <si>
    <t xml:space="preserve">A holder who doesn't add to their position loses this much ownership share to new issuance over time -- the price needs to grow faster than dilution just to keep the position's dollar value from falling.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</si>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</sst>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\$#,##0;&quot;($&quot;#,##0\);\-"/>
    <numFmt numFmtId="169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2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5</v>
      </c>
    </row>
    <row r="8" customFormat="false" ht="15" hidden="false" customHeight="false" outlineLevel="0" collapsed="false">
      <c r="B8" s="3" t="s">
        <v>7</v>
      </c>
      <c r="C8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5" min="3" style="1" width="14"/>
    <col collapsed="false" customWidth="true" hidden="false" outlineLevel="0" max="6" min="6" style="1" width="30"/>
  </cols>
  <sheetData>
    <row r="2" customFormat="false" ht="19.7" hidden="false" customHeight="false" outlineLevel="0" collapsed="false">
      <c r="B2" s="2" t="s">
        <v>9</v>
      </c>
    </row>
    <row r="4" customFormat="false" ht="15" hidden="false" customHeight="false" outlineLevel="0" collapsed="false">
      <c r="A4" s="5"/>
      <c r="B4" s="5" t="s">
        <v>10</v>
      </c>
      <c r="C4" s="5" t="s">
        <v>11</v>
      </c>
      <c r="D4" s="6" t="s">
        <v>12</v>
      </c>
      <c r="E4" s="6" t="s">
        <v>13</v>
      </c>
      <c r="F4" s="6" t="s">
        <v>14</v>
      </c>
    </row>
    <row r="5" customFormat="false" ht="15" hidden="false" customHeight="false" outlineLevel="0" collapsed="false">
      <c r="B5" s="7" t="s">
        <v>15</v>
      </c>
      <c r="C5" s="8" t="n">
        <v>0</v>
      </c>
      <c r="D5" s="9" t="str">
        <f aca="false">IFERROR(C5/$C$10,"-")</f>
        <v>-</v>
      </c>
      <c r="E5" s="4" t="s">
        <v>5</v>
      </c>
      <c r="F5" s="10" t="s">
        <v>16</v>
      </c>
    </row>
    <row r="6" customFormat="false" ht="15" hidden="false" customHeight="false" outlineLevel="0" collapsed="false">
      <c r="B6" s="7" t="s">
        <v>17</v>
      </c>
      <c r="C6" s="8" t="n">
        <v>0</v>
      </c>
      <c r="D6" s="9" t="str">
        <f aca="false">IFERROR(C6/$C$10,"-")</f>
        <v>-</v>
      </c>
      <c r="E6" s="4" t="s">
        <v>5</v>
      </c>
      <c r="F6" s="10" t="s">
        <v>16</v>
      </c>
    </row>
    <row r="7" customFormat="false" ht="15" hidden="false" customHeight="false" outlineLevel="0" collapsed="false">
      <c r="B7" s="7" t="s">
        <v>18</v>
      </c>
      <c r="C7" s="8" t="n">
        <v>0</v>
      </c>
      <c r="D7" s="9" t="str">
        <f aca="false">IFERROR(C7/$C$10,"-")</f>
        <v>-</v>
      </c>
      <c r="E7" s="4" t="s">
        <v>5</v>
      </c>
      <c r="F7" s="10" t="s">
        <v>16</v>
      </c>
    </row>
    <row r="8" customFormat="false" ht="15" hidden="false" customHeight="false" outlineLevel="0" collapsed="false">
      <c r="B8" s="7" t="s">
        <v>19</v>
      </c>
      <c r="C8" s="8" t="n">
        <v>0</v>
      </c>
      <c r="D8" s="9" t="str">
        <f aca="false">IFERROR(C8/$C$10,"-")</f>
        <v>-</v>
      </c>
      <c r="E8" s="4" t="s">
        <v>5</v>
      </c>
      <c r="F8" s="10" t="s">
        <v>16</v>
      </c>
    </row>
    <row r="9" customFormat="false" ht="15" hidden="false" customHeight="false" outlineLevel="0" collapsed="false">
      <c r="B9" s="7" t="s">
        <v>20</v>
      </c>
      <c r="C9" s="8" t="n">
        <v>0</v>
      </c>
      <c r="D9" s="9" t="str">
        <f aca="false">IFERROR(C9/$C$10,"-")</f>
        <v>-</v>
      </c>
      <c r="E9" s="4" t="s">
        <v>5</v>
      </c>
      <c r="F9" s="10" t="s">
        <v>16</v>
      </c>
    </row>
    <row r="10" customFormat="false" ht="15" hidden="false" customHeight="false" outlineLevel="0" collapsed="false">
      <c r="B10" s="3" t="s">
        <v>21</v>
      </c>
      <c r="C10" s="11" t="n">
        <f aca="false">SUM(C5:C9)</f>
        <v>0</v>
      </c>
    </row>
    <row r="12" customFormat="false" ht="15" hidden="false" customHeight="false" outlineLevel="0" collapsed="false">
      <c r="B12" s="3" t="s">
        <v>22</v>
      </c>
      <c r="C12" s="12" t="n">
        <v>0</v>
      </c>
    </row>
    <row r="13" customFormat="false" ht="15" hidden="false" customHeight="false" outlineLevel="0" collapsed="false">
      <c r="B13" s="7" t="s">
        <v>23</v>
      </c>
      <c r="C13" s="9" t="str">
        <f aca="false">IFERROR(C12/C10,"-")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24</v>
      </c>
    </row>
    <row r="4" customFormat="false" ht="15" hidden="false" customHeight="false" outlineLevel="0" collapsed="false">
      <c r="B4" s="13" t="s">
        <v>25</v>
      </c>
    </row>
    <row r="5" customFormat="false" ht="15" hidden="false" customHeight="false" outlineLevel="0" collapsed="false">
      <c r="B5" s="7" t="s">
        <v>26</v>
      </c>
      <c r="C5" s="14" t="n">
        <v>0</v>
      </c>
    </row>
    <row r="6" customFormat="false" ht="15" hidden="false" customHeight="false" outlineLevel="0" collapsed="false">
      <c r="B6" s="7" t="s">
        <v>27</v>
      </c>
      <c r="C6" s="15" t="n">
        <v>0</v>
      </c>
    </row>
    <row r="7" customFormat="false" ht="15" hidden="false" customHeight="false" outlineLevel="0" collapsed="false">
      <c r="B7" s="7" t="s">
        <v>28</v>
      </c>
      <c r="C7" s="15" t="n">
        <v>0</v>
      </c>
    </row>
    <row r="8" customFormat="false" ht="15" hidden="false" customHeight="false" outlineLevel="0" collapsed="false">
      <c r="B8" s="7" t="s">
        <v>29</v>
      </c>
      <c r="C8" s="15" t="n">
        <v>0</v>
      </c>
    </row>
    <row r="10" customFormat="false" ht="15" hidden="false" customHeight="false" outlineLevel="0" collapsed="false">
      <c r="B10" s="13" t="s">
        <v>30</v>
      </c>
    </row>
    <row r="11" customFormat="false" ht="15" hidden="false" customHeight="false" outlineLevel="0" collapsed="false">
      <c r="B11" s="1" t="s">
        <v>31</v>
      </c>
      <c r="C11" s="16" t="n">
        <f aca="false">C5*Tokenomics!C12</f>
        <v>0</v>
      </c>
    </row>
    <row r="12" customFormat="false" ht="15" hidden="false" customHeight="false" outlineLevel="0" collapsed="false">
      <c r="B12" s="1" t="s">
        <v>32</v>
      </c>
      <c r="C12" s="16" t="n">
        <f aca="false">C5*Tokenomics!C10</f>
        <v>0</v>
      </c>
    </row>
    <row r="13" customFormat="false" ht="15" hidden="false" customHeight="false" outlineLevel="0" collapsed="false">
      <c r="B13" s="1" t="s">
        <v>33</v>
      </c>
      <c r="C13" s="17" t="str">
        <f aca="false">IFERROR(C11/C6,"-")</f>
        <v>-</v>
      </c>
    </row>
    <row r="14" customFormat="false" ht="15" hidden="false" customHeight="false" outlineLevel="0" collapsed="false">
      <c r="B14" s="1" t="s">
        <v>34</v>
      </c>
      <c r="C14" s="17" t="str">
        <f aca="false">IFERROR(C12/C6,"-")</f>
        <v>-</v>
      </c>
    </row>
    <row r="15" customFormat="false" ht="15" hidden="false" customHeight="false" outlineLevel="0" collapsed="false">
      <c r="B15" s="1" t="s">
        <v>35</v>
      </c>
      <c r="C15" s="17" t="str">
        <f aca="false">IFERROR(C11/C7,"-")</f>
        <v>-</v>
      </c>
    </row>
    <row r="16" customFormat="false" ht="15" hidden="false" customHeight="false" outlineLevel="0" collapsed="false">
      <c r="B16" s="1" t="s">
        <v>36</v>
      </c>
      <c r="C16" s="17" t="str">
        <f aca="false">IFERROR(C11/(C8*365),"-")</f>
        <v>-</v>
      </c>
      <c r="D16" s="1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38</v>
      </c>
    </row>
    <row r="4" customFormat="false" ht="15" hidden="false" customHeight="false" outlineLevel="0" collapsed="false">
      <c r="B4" s="13" t="s">
        <v>25</v>
      </c>
    </row>
    <row r="5" customFormat="false" ht="15" hidden="false" customHeight="false" outlineLevel="0" collapsed="false">
      <c r="B5" s="7" t="s">
        <v>39</v>
      </c>
      <c r="C5" s="18" t="n">
        <v>0</v>
      </c>
    </row>
    <row r="6" customFormat="false" ht="15" hidden="false" customHeight="false" outlineLevel="0" collapsed="false">
      <c r="B6" s="7" t="s">
        <v>40</v>
      </c>
      <c r="C6" s="19" t="n">
        <v>0</v>
      </c>
    </row>
    <row r="7" customFormat="false" ht="15" hidden="false" customHeight="false" outlineLevel="0" collapsed="false">
      <c r="B7" s="7" t="s">
        <v>41</v>
      </c>
      <c r="C7" s="15" t="n">
        <v>0</v>
      </c>
    </row>
    <row r="8" customFormat="false" ht="15" hidden="false" customHeight="false" outlineLevel="0" collapsed="false">
      <c r="B8" s="7" t="s">
        <v>42</v>
      </c>
      <c r="C8" s="14" t="n">
        <v>0</v>
      </c>
    </row>
    <row r="10" customFormat="false" ht="15" hidden="false" customHeight="false" outlineLevel="0" collapsed="false">
      <c r="B10" s="13" t="s">
        <v>30</v>
      </c>
    </row>
    <row r="11" customFormat="false" ht="15" hidden="false" customHeight="false" outlineLevel="0" collapsed="false">
      <c r="B11" s="1" t="s">
        <v>43</v>
      </c>
      <c r="C11" s="20" t="n">
        <f aca="false">C5*Tokenomics!C12</f>
        <v>0</v>
      </c>
    </row>
    <row r="12" customFormat="false" ht="15" hidden="false" customHeight="false" outlineLevel="0" collapsed="false">
      <c r="B12" s="1" t="s">
        <v>44</v>
      </c>
      <c r="C12" s="21" t="str">
        <f aca="false">IFERROR(C6/C11,"-")</f>
        <v>-</v>
      </c>
    </row>
    <row r="13" customFormat="false" ht="15" hidden="false" customHeight="false" outlineLevel="0" collapsed="false">
      <c r="B13" s="1" t="s">
        <v>45</v>
      </c>
      <c r="C13" s="21" t="str">
        <f aca="false">IFERROR(C7/(C11*C8),"-")</f>
        <v>-</v>
      </c>
    </row>
    <row r="14" customFormat="false" ht="15" hidden="false" customHeight="false" outlineLevel="0" collapsed="false">
      <c r="B14" s="1" t="s">
        <v>46</v>
      </c>
      <c r="C14" s="22" t="str">
        <f aca="false">IFERROR(C13-C12,"-")</f>
        <v>-</v>
      </c>
      <c r="D14" s="1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6" min="3" style="1" width="14"/>
    <col collapsed="false" customWidth="true" hidden="false" outlineLevel="0" max="9" min="7" style="1" width="12"/>
  </cols>
  <sheetData>
    <row r="2" customFormat="false" ht="19.7" hidden="false" customHeight="false" outlineLevel="0" collapsed="false">
      <c r="B2" s="2" t="s">
        <v>48</v>
      </c>
    </row>
    <row r="4" customFormat="false" ht="15" hidden="false" customHeight="false" outlineLevel="0" collapsed="false">
      <c r="A4" s="5"/>
      <c r="B4" s="5" t="s">
        <v>49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54</v>
      </c>
      <c r="H4" s="5" t="s">
        <v>55</v>
      </c>
      <c r="I4" s="6" t="s">
        <v>56</v>
      </c>
    </row>
    <row r="5" customFormat="false" ht="15" hidden="false" customHeight="false" outlineLevel="0" collapsed="false">
      <c r="B5" s="3" t="s">
        <v>57</v>
      </c>
      <c r="C5" s="23" t="n">
        <f aca="false">Valuation!C11</f>
        <v>0</v>
      </c>
      <c r="D5" s="23" t="n">
        <f aca="false">Valuation!C12</f>
        <v>0</v>
      </c>
      <c r="E5" s="23" t="n">
        <f aca="false">Valuation!C6</f>
        <v>0</v>
      </c>
      <c r="F5" s="23" t="n">
        <f aca="false">Valuation!C8</f>
        <v>0</v>
      </c>
      <c r="G5" s="17" t="str">
        <f aca="false">IFERROR(C5/E5,"-")</f>
        <v>-</v>
      </c>
      <c r="H5" s="17" t="str">
        <f aca="false">IFERROR(D5/E5,"-")</f>
        <v>-</v>
      </c>
      <c r="I5" s="17" t="str">
        <f aca="false">IFERROR(C5/(F5*365),"-")</f>
        <v>-</v>
      </c>
    </row>
    <row r="6" customFormat="false" ht="15" hidden="false" customHeight="false" outlineLevel="0" collapsed="false">
      <c r="B6" s="24" t="s">
        <v>2</v>
      </c>
      <c r="C6" s="25" t="n">
        <v>0</v>
      </c>
      <c r="D6" s="25" t="n">
        <v>0</v>
      </c>
      <c r="E6" s="25" t="n">
        <v>0</v>
      </c>
      <c r="F6" s="25" t="n">
        <v>0</v>
      </c>
      <c r="G6" s="17" t="str">
        <f aca="false">IFERROR(C6/E6,"-")</f>
        <v>-</v>
      </c>
      <c r="H6" s="17" t="str">
        <f aca="false">IFERROR(D6/E6,"-")</f>
        <v>-</v>
      </c>
      <c r="I6" s="17" t="str">
        <f aca="false">IFERROR(C6/(F6*365),"-")</f>
        <v>-</v>
      </c>
    </row>
    <row r="7" customFormat="false" ht="15" hidden="false" customHeight="false" outlineLevel="0" collapsed="false">
      <c r="B7" s="24" t="s">
        <v>2</v>
      </c>
      <c r="C7" s="25" t="n">
        <v>0</v>
      </c>
      <c r="D7" s="25" t="n">
        <v>0</v>
      </c>
      <c r="E7" s="25" t="n">
        <v>0</v>
      </c>
      <c r="F7" s="25" t="n">
        <v>0</v>
      </c>
      <c r="G7" s="17" t="str">
        <f aca="false">IFERROR(C7/E7,"-")</f>
        <v>-</v>
      </c>
      <c r="H7" s="17" t="str">
        <f aca="false">IFERROR(D7/E7,"-")</f>
        <v>-</v>
      </c>
      <c r="I7" s="17" t="str">
        <f aca="false">IFERROR(C7/(F7*365),"-")</f>
        <v>-</v>
      </c>
    </row>
    <row r="8" customFormat="false" ht="15" hidden="false" customHeight="false" outlineLevel="0" collapsed="false">
      <c r="B8" s="24" t="s">
        <v>2</v>
      </c>
      <c r="C8" s="25" t="n">
        <v>0</v>
      </c>
      <c r="D8" s="25" t="n">
        <v>0</v>
      </c>
      <c r="E8" s="25" t="n">
        <v>0</v>
      </c>
      <c r="F8" s="25" t="n">
        <v>0</v>
      </c>
      <c r="G8" s="17" t="str">
        <f aca="false">IFERROR(C8/E8,"-")</f>
        <v>-</v>
      </c>
      <c r="H8" s="17" t="str">
        <f aca="false">IFERROR(D8/E8,"-")</f>
        <v>-</v>
      </c>
      <c r="I8" s="17" t="str">
        <f aca="false">IFERROR(C8/(F8*365),"-")</f>
        <v>-</v>
      </c>
    </row>
    <row r="9" customFormat="false" ht="15" hidden="false" customHeight="false" outlineLevel="0" collapsed="false">
      <c r="B9" s="24" t="s">
        <v>2</v>
      </c>
      <c r="C9" s="25" t="n">
        <v>0</v>
      </c>
      <c r="D9" s="25" t="n">
        <v>0</v>
      </c>
      <c r="E9" s="25" t="n">
        <v>0</v>
      </c>
      <c r="F9" s="25" t="n">
        <v>0</v>
      </c>
      <c r="G9" s="17" t="str">
        <f aca="false">IFERROR(C9/E9,"-")</f>
        <v>-</v>
      </c>
      <c r="H9" s="17" t="str">
        <f aca="false">IFERROR(D9/E9,"-")</f>
        <v>-</v>
      </c>
      <c r="I9" s="17" t="str">
        <f aca="false">IFERROR(C9/(F9*365),"-")</f>
        <v>-</v>
      </c>
    </row>
    <row r="10" customFormat="false" ht="15" hidden="false" customHeight="false" outlineLevel="0" collapsed="false">
      <c r="B10" s="24" t="s">
        <v>2</v>
      </c>
      <c r="C10" s="25" t="n">
        <v>0</v>
      </c>
      <c r="D10" s="25" t="n">
        <v>0</v>
      </c>
      <c r="E10" s="25" t="n">
        <v>0</v>
      </c>
      <c r="F10" s="25" t="n">
        <v>0</v>
      </c>
      <c r="G10" s="17" t="str">
        <f aca="false">IFERROR(C10/E10,"-")</f>
        <v>-</v>
      </c>
      <c r="H10" s="17" t="str">
        <f aca="false">IFERROR(D10/E10,"-")</f>
        <v>-</v>
      </c>
      <c r="I10" s="17" t="str">
        <f aca="false">IFERROR(C10/(F10*365),"-")</f>
        <v>-</v>
      </c>
    </row>
    <row r="11" customFormat="false" ht="15" hidden="false" customHeight="false" outlineLevel="0" collapsed="false">
      <c r="B11" s="24" t="s">
        <v>2</v>
      </c>
      <c r="C11" s="25" t="n">
        <v>0</v>
      </c>
      <c r="D11" s="25" t="n">
        <v>0</v>
      </c>
      <c r="E11" s="25" t="n">
        <v>0</v>
      </c>
      <c r="F11" s="25" t="n">
        <v>0</v>
      </c>
      <c r="G11" s="17" t="str">
        <f aca="false">IFERROR(C11/E11,"-")</f>
        <v>-</v>
      </c>
      <c r="H11" s="17" t="str">
        <f aca="false">IFERROR(D11/E11,"-")</f>
        <v>-</v>
      </c>
      <c r="I11" s="17" t="str">
        <f aca="false">IFERROR(C11/(F11*365),"-")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7" min="3" style="1" width="14"/>
    <col collapsed="false" customWidth="true" hidden="false" outlineLevel="0" max="8" min="8" style="1" width="40"/>
  </cols>
  <sheetData>
    <row r="2" customFormat="false" ht="19.7" hidden="false" customHeight="false" outlineLevel="0" collapsed="false">
      <c r="B2" s="2" t="s">
        <v>58</v>
      </c>
    </row>
    <row r="4" customFormat="false" ht="15" hidden="false" customHeight="false" outlineLevel="0" collapsed="false">
      <c r="B4" s="1" t="s">
        <v>59</v>
      </c>
      <c r="C4" s="18" t="n">
        <v>0.05</v>
      </c>
      <c r="D4" s="10" t="s">
        <v>60</v>
      </c>
    </row>
    <row r="6" customFormat="false" ht="15" hidden="false" customHeight="false" outlineLevel="0" collapsed="false">
      <c r="C6" s="5" t="s">
        <v>61</v>
      </c>
      <c r="D6" s="5" t="s">
        <v>62</v>
      </c>
      <c r="E6" s="5" t="s">
        <v>63</v>
      </c>
      <c r="F6" s="5" t="s">
        <v>64</v>
      </c>
      <c r="G6" s="5" t="s">
        <v>65</v>
      </c>
    </row>
    <row r="7" customFormat="false" ht="15" hidden="false" customHeight="false" outlineLevel="0" collapsed="false">
      <c r="B7" s="1" t="s">
        <v>66</v>
      </c>
      <c r="C7" s="26" t="n">
        <f aca="false">Tokenomics!C12</f>
        <v>0</v>
      </c>
      <c r="D7" s="20" t="n">
        <f aca="false">MIN(Tokenomics!$C$10,C7+Tokenomics!$C$10*$C$4)</f>
        <v>0</v>
      </c>
      <c r="E7" s="20" t="n">
        <f aca="false">MIN(Tokenomics!$C$10,D7+Tokenomics!$C$10*$C$4)</f>
        <v>0</v>
      </c>
      <c r="F7" s="20" t="n">
        <f aca="false">MIN(Tokenomics!$C$10,E7+Tokenomics!$C$10*$C$4)</f>
        <v>0</v>
      </c>
      <c r="G7" s="20" t="n">
        <f aca="false">MIN(Tokenomics!$C$10,F7+Tokenomics!$C$10*$C$4)</f>
        <v>0</v>
      </c>
    </row>
    <row r="8" customFormat="false" ht="15" hidden="false" customHeight="false" outlineLevel="0" collapsed="false">
      <c r="B8" s="1" t="s">
        <v>67</v>
      </c>
      <c r="C8" s="21" t="str">
        <f aca="false">IFERROR(1-$C$7/C7,"-")</f>
        <v>-</v>
      </c>
      <c r="D8" s="21" t="str">
        <f aca="false">IFERROR(1-$C$7/D7,"-")</f>
        <v>-</v>
      </c>
      <c r="E8" s="21" t="str">
        <f aca="false">IFERROR(1-$C$7/E7,"-")</f>
        <v>-</v>
      </c>
      <c r="F8" s="21" t="str">
        <f aca="false">IFERROR(1-$C$7/F7,"-")</f>
        <v>-</v>
      </c>
      <c r="G8" s="21" t="str">
        <f aca="false">IFERROR(1-$C$7/G7,"-")</f>
        <v>-</v>
      </c>
    </row>
    <row r="9" customFormat="false" ht="15" hidden="false" customHeight="false" outlineLevel="0" collapsed="false">
      <c r="B9" s="1" t="s">
        <v>68</v>
      </c>
      <c r="C9" s="16" t="n">
        <f aca="false">Valuation!$C$5*C7</f>
        <v>0</v>
      </c>
      <c r="D9" s="16" t="n">
        <f aca="false">Valuation!$C$5*D7</f>
        <v>0</v>
      </c>
      <c r="E9" s="16" t="n">
        <f aca="false">Valuation!$C$5*E7</f>
        <v>0</v>
      </c>
      <c r="F9" s="16" t="n">
        <f aca="false">Valuation!$C$5*F7</f>
        <v>0</v>
      </c>
      <c r="G9" s="16" t="n">
        <f aca="false">Valuation!$C$5*G7</f>
        <v>0</v>
      </c>
    </row>
    <row r="10" customFormat="false" ht="15" hidden="false" customHeight="false" outlineLevel="0" collapsed="false">
      <c r="B10" s="1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70</v>
      </c>
    </row>
    <row r="4" customFormat="false" ht="15" hidden="false" customHeight="false" outlineLevel="0" collapsed="false">
      <c r="B4" s="5" t="s">
        <v>71</v>
      </c>
      <c r="C4" s="5" t="s">
        <v>72</v>
      </c>
      <c r="D4" s="5" t="s">
        <v>73</v>
      </c>
      <c r="E4" s="5" t="s">
        <v>74</v>
      </c>
      <c r="F4" s="5" t="s">
        <v>75</v>
      </c>
    </row>
    <row r="5" customFormat="false" ht="15" hidden="false" customHeight="false" outlineLevel="0" collapsed="false">
      <c r="B5" s="27"/>
      <c r="C5" s="27"/>
      <c r="D5" s="27"/>
      <c r="E5" s="27"/>
      <c r="F5" s="27"/>
    </row>
    <row r="6" customFormat="false" ht="15" hidden="false" customHeight="false" outlineLevel="0" collapsed="false">
      <c r="B6" s="27"/>
      <c r="C6" s="27"/>
      <c r="D6" s="27"/>
      <c r="E6" s="27"/>
      <c r="F6" s="27"/>
    </row>
    <row r="7" customFormat="false" ht="15" hidden="false" customHeight="false" outlineLevel="0" collapsed="false">
      <c r="B7" s="27"/>
      <c r="C7" s="27"/>
      <c r="D7" s="27"/>
      <c r="E7" s="27"/>
      <c r="F7" s="27"/>
    </row>
    <row r="8" customFormat="false" ht="15" hidden="false" customHeight="false" outlineLevel="0" collapsed="false">
      <c r="B8" s="27"/>
      <c r="C8" s="27"/>
      <c r="D8" s="27"/>
      <c r="E8" s="27"/>
      <c r="F8" s="27"/>
    </row>
    <row r="9" customFormat="false" ht="15" hidden="false" customHeight="false" outlineLevel="0" collapsed="false">
      <c r="B9" s="27"/>
      <c r="C9" s="27"/>
      <c r="D9" s="27"/>
      <c r="E9" s="27"/>
      <c r="F9" s="27"/>
    </row>
    <row r="10" customFormat="false" ht="15" hidden="false" customHeight="false" outlineLevel="0" collapsed="false">
      <c r="B10" s="27"/>
      <c r="C10" s="27"/>
      <c r="D10" s="27"/>
      <c r="E10" s="27"/>
      <c r="F10" s="27"/>
    </row>
    <row r="11" customFormat="false" ht="15" hidden="false" customHeight="false" outlineLevel="0" collapsed="false">
      <c r="B11" s="27"/>
      <c r="C11" s="27"/>
      <c r="D11" s="27"/>
      <c r="E11" s="27"/>
      <c r="F11" s="27"/>
    </row>
    <row r="12" customFormat="false" ht="15" hidden="false" customHeight="false" outlineLevel="0" collapsed="false">
      <c r="B12" s="27"/>
      <c r="C12" s="27"/>
      <c r="D12" s="27"/>
      <c r="E12" s="27"/>
      <c r="F12" s="27"/>
    </row>
    <row r="13" customFormat="false" ht="15" hidden="false" customHeight="false" outlineLevel="0" collapsed="false">
      <c r="B13" s="27"/>
      <c r="C13" s="27"/>
      <c r="D13" s="27"/>
      <c r="E13" s="27"/>
      <c r="F13" s="27"/>
    </row>
    <row r="14" customFormat="false" ht="15" hidden="false" customHeight="false" outlineLevel="0" collapsed="false">
      <c r="B14" s="27"/>
      <c r="C14" s="27"/>
      <c r="D14" s="27"/>
      <c r="E14" s="27"/>
      <c r="F14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2026-08-03T22:58:02Z</dcterms:created>
  <dc:creator>openpyxl</dc:creator>
  <dc:description/>
  <dc:language>en-US</dc:language>
  <cp:lastModifiedBy/>
  <dcterms:modified xsi:type="dcterms:W3CDTF">2026-08-03T22:58:02Z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