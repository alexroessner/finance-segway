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Tokenomics" sheetId="2" state="visible" r:id="rId4"/>
    <sheet name="Valuation" sheetId="3" state="visible" r:id="rId5"/>
    <sheet name="Staking Yield" sheetId="4" state="visible" r:id="rId6"/>
    <sheet name="Perp Funding &amp; Basis" sheetId="5" state="visible" r:id="rId7"/>
    <sheet name="Comparable Protocols" sheetId="6" state="visible" r:id="rId8"/>
    <sheet name="Supply Emission Schedule" sheetId="7" state="visible" r:id="rId9"/>
    <sheet name="Sources" sheetId="8" state="visible" r:id="rId10"/>
    <sheet name="Checks" sheetId="9" state="visible" r:id="rId11"/>
    <sheet name="Refresh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<sst xmlns="http://schemas.openxmlformats.org/spreadsheetml/2006/main" count="156" uniqueCount="133">
  <si>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</si>
  <si>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</si>
  <si>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</si>
  <si>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</si>
  <si>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</si>
  <si>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[date]</t>
  </si>
  <si>
    <t xml:space="preserve">Next unlock/emission event:</t>
  </si>
  <si>
    <t xml:space="preserve">Refresh cadence:</t>
  </si>
  <si>
    <t xml:space="preserve">Weekly (daily around unlocks)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</si>
  <si>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</si>
  <si>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</si>
  <si>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</si>
  <si>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</si>
  <si>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</si>
  <si>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</si>
  <si>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</si>
  <si>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</si>
  <si>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</si>
  <si>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</si>
  <si>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</si>
  <si>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</si>
  <si>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</si>
  <si>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</si>
  <si>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</si>
  <si>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</si>
  <si>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</si>
  <si>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</si>
  <si>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</si>
  <si>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</si>
  <si>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</si>
  <si>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</si>
  <si>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</si>
  <si>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</si>
  <si>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</si>
  <si>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</si>
  <si>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</si>
  <si>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NVT ratio (Mkt cap / daily volume, annualized)</t>
  </si>
  <si>
    <t xml:space="preserve">High NVT = valuation rich relative to network usage (P/E-style read)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</si>
  <si>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</si>
  <si>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</si>
  <si>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</si>
  <si>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</si>
  <si>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</si>
  <si>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</si>
  <si>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</si>
  <si>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</si>
  <si>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</si>
  <si>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</si>
  <si>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Perpetual Funding Rate &amp; Cash-and-Carry Basis Trade</t>
  </si>
  <si>
    <t xml:space="preserve">A perp has no expiry, so it stays anchored to spot via a periodic funding payment instead: when the perp trades above spot (positive premium), longs pay shorts. A cash-and-carry basis trade -- long spot, short an equal notional of perp -- is delta-neutral to the underlying's price and collects that funding as its return, with basis-widening (not price) as the real risk.</t>
  </si>
  <si>
    <t xml:space="preserve">Perpetual futures price</t>
  </si>
  <si>
    <t xml:space="preserve">Spot / index price</t>
  </si>
  <si>
    <t xml:space="preserve">Funding interval (hours)</t>
  </si>
  <si>
    <t xml:space="preserve">Basis trade notional ($, long spot / short perp)</t>
  </si>
  <si>
    <t xml:space="preserve">Funding Rate</t>
  </si>
  <si>
    <t xml:space="preserve">Premium (Perp - Spot) / Spot</t>
  </si>
  <si>
    <t xml:space="preserve">Funding rate this interval (simplified: = premium)</t>
  </si>
  <si>
    <t xml:space="preserve">Real venues add a small clamped interest-rate component; this simplifies to the pure premium, which dominates in practice.</t>
  </si>
  <si>
    <t xml:space="preserve">Funding periods per year (365d x 24h / interval)</t>
  </si>
  <si>
    <t xml:space="preserve">Annualized funding rate</t>
  </si>
  <si>
    <t xml:space="preserve">Basis Trade (long spot, short perp -- delta-neutral)</t>
  </si>
  <si>
    <t xml:space="preserve">Funding received this interval (short perp collects when funding &gt; 0)</t>
  </si>
  <si>
    <t xml:space="preserve">Annualized funding income</t>
  </si>
  <si>
    <t xml:space="preserve">Spot/perp move</t>
  </si>
  <si>
    <t xml:space="preserve">-20%</t>
  </si>
  <si>
    <t xml:space="preserve">-10%</t>
  </si>
  <si>
    <t xml:space="preserve">0%</t>
  </si>
  <si>
    <t xml:space="preserve">+10%</t>
  </si>
  <si>
    <t xml:space="preserve">+20%</t>
  </si>
  <si>
    <t xml:space="preserve">Spot leg P&amp;L (long)</t>
  </si>
  <si>
    <t xml:space="preserve">Perp leg P&amp;L (short, tracks spot 1:1)</t>
  </si>
  <si>
    <t xml:space="preserve">Net position P&amp;L (delta-neutral check)</t>
  </si>
  <si>
    <t xml:space="preserve">The basis trade's return is the funding income above, isolated from price risk -- the net row is ~0 across every move because the position is deliberately delta-neutral. Real risk: the premium narrowing/widening before the trade is unwound, and exchange/counterparty risk on both legs.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</si>
  <si>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</si>
  <si>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</si>
  <si>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</si>
  <si>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</si>
  <si>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</si>
  <si>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</si>
  <si>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</si>
  <si>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</si>
  <si>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</si>
  <si>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</si>
  <si>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</si>
  <si>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</si>
  <si>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</si>
  <si>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</si>
  <si>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</si>
  <si>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</si>
  <si>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</si>
  <si>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</si>
  <si>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Circulating supply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</si>
  <si>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</si>
  <si>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</si>
  <si>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</si>
  <si>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</si>
  <si>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</si>
  <si>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</si>
  <si>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</si>
  <si>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</si>
  <si>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</si>
  <si>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Funding rate simplified to = premium, (Perp-Spot)/Spot</t>
  </si>
  <si>
    <t xml:space="preserve">Common simplified perpetual-futures funding model used by major venues</t>
  </si>
  <si>
    <t xml:space="preserve">Standard practice</t>
  </si>
  <si>
    <t xml:space="preserve">Real venues add a small clamped interest-rate component this omits; premium dominates in practice</t>
  </si>
  <si>
    <t xml:space="preserve">NVT ratio, Mkt cap/TVL, FDV/TVL</t>
  </si>
  <si>
    <t xml:space="preserve">Standard on-chain valuation multiples (crypto-native analogues to P/E, P/B)</t>
  </si>
  <si>
    <t xml:space="preserve">No universally agreed 'correct' NVT level -- used relatively (vs. history or comps), not as an absolute valuation anchor</t>
  </si>
  <si>
    <t xml:space="preserve">Flat annual emission schedule (Supply Emission Schedule tab)</t>
  </si>
  <si>
    <t xml:space="preserve">Simplified planning approximation</t>
  </si>
  <si>
    <t xml:space="preserve">Real token unlocks are usually cliff + linear per allocation bucket -- this is not a substitute for the actual unlock table</t>
  </si>
  <si>
    <t xml:space="preserve">Inflationary yield vs. real yield split (Staking Yield tab)</t>
  </si>
  <si>
    <t xml:space="preserve">Standard DeFi staking-yield decomposition (emissions dilution vs. protocol fee revenue)</t>
  </si>
  <si>
    <t xml:space="preserve">Real yield requires accurate protocol fee-revenue data, which varies widely in disclosure quality across protocols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</si>
  <si>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</si>
  <si>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</si>
  <si>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</si>
  <si>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</si>
  <si>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</si>
  <si>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Basis trade is delta-neutral: net P&amp;L is 0 across every spot/perp move</t>
  </si>
  <si>
    <t xml:space="preserve">0 (exact) -- long spot + short perp cancels price risk by construction</t>
  </si>
  <si>
    <t xml:space="preserve">Annualized funding income = notional x annualized funding rate</t>
  </si>
  <si>
    <t xml:space="preserve">0 (exact) once spot price is populated; "-" on a blank template</t>
  </si>
  <si>
    <t xml:space="preserve">Allocation percentages sum to 100% of max supply</t>
  </si>
  <si>
    <t xml:space="preserve">100% (once allocations are populated)</t>
  </si>
  <si>
    <t xml:space="preserve">Circulating supply never exceeds max supply in the emission schedule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</si>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</sst>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0%;\(0.00%\);\-"/>
    <numFmt numFmtId="171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5</v>
      </c>
    </row>
    <row r="8" customFormat="false" ht="15" hidden="false" customHeight="false" outlineLevel="0" collapsed="false">
      <c r="B8" s="3" t="s">
        <v>7</v>
      </c>
      <c r="C8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3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A4" s="5"/>
      <c r="B4" s="5" t="s">
        <v>10</v>
      </c>
      <c r="C4" s="5" t="s">
        <v>11</v>
      </c>
      <c r="D4" s="6" t="s">
        <v>12</v>
      </c>
      <c r="E4" s="6" t="s">
        <v>13</v>
      </c>
      <c r="F4" s="6" t="s">
        <v>14</v>
      </c>
    </row>
    <row r="5" customFormat="false" ht="15" hidden="false" customHeight="false" outlineLevel="0" collapsed="false">
      <c r="B5" s="7" t="s">
        <v>15</v>
      </c>
      <c r="C5" s="8" t="n">
        <v>0</v>
      </c>
      <c r="D5" s="9" t="str">
        <f aca="false">IFERROR(C5/$C$10,"-")</f>
        <v>-</v>
      </c>
      <c r="E5" s="4" t="s">
        <v>5</v>
      </c>
      <c r="F5" s="10" t="s">
        <v>16</v>
      </c>
    </row>
    <row r="6" customFormat="false" ht="15" hidden="false" customHeight="false" outlineLevel="0" collapsed="false">
      <c r="B6" s="7" t="s">
        <v>17</v>
      </c>
      <c r="C6" s="8" t="n">
        <v>0</v>
      </c>
      <c r="D6" s="9" t="str">
        <f aca="false">IFERROR(C6/$C$10,"-")</f>
        <v>-</v>
      </c>
      <c r="E6" s="4" t="s">
        <v>5</v>
      </c>
      <c r="F6" s="10" t="s">
        <v>16</v>
      </c>
    </row>
    <row r="7" customFormat="false" ht="15" hidden="false" customHeight="false" outlineLevel="0" collapsed="false">
      <c r="B7" s="7" t="s">
        <v>18</v>
      </c>
      <c r="C7" s="8" t="n">
        <v>0</v>
      </c>
      <c r="D7" s="9" t="str">
        <f aca="false">IFERROR(C7/$C$10,"-")</f>
        <v>-</v>
      </c>
      <c r="E7" s="4" t="s">
        <v>5</v>
      </c>
      <c r="F7" s="10" t="s">
        <v>16</v>
      </c>
    </row>
    <row r="8" customFormat="false" ht="15" hidden="false" customHeight="false" outlineLevel="0" collapsed="false">
      <c r="B8" s="7" t="s">
        <v>19</v>
      </c>
      <c r="C8" s="8" t="n">
        <v>0</v>
      </c>
      <c r="D8" s="9" t="str">
        <f aca="false">IFERROR(C8/$C$10,"-")</f>
        <v>-</v>
      </c>
      <c r="E8" s="4" t="s">
        <v>5</v>
      </c>
      <c r="F8" s="10" t="s">
        <v>16</v>
      </c>
    </row>
    <row r="9" customFormat="false" ht="15" hidden="false" customHeight="false" outlineLevel="0" collapsed="false">
      <c r="B9" s="7" t="s">
        <v>20</v>
      </c>
      <c r="C9" s="8" t="n">
        <v>0</v>
      </c>
      <c r="D9" s="9" t="str">
        <f aca="false">IFERROR(C9/$C$10,"-")</f>
        <v>-</v>
      </c>
      <c r="E9" s="4" t="s">
        <v>5</v>
      </c>
      <c r="F9" s="10" t="s">
        <v>16</v>
      </c>
    </row>
    <row r="10" customFormat="false" ht="15" hidden="false" customHeight="false" outlineLevel="0" collapsed="false">
      <c r="B10" s="3" t="s">
        <v>21</v>
      </c>
      <c r="C10" s="11" t="n">
        <f aca="false">SUM(C5:C9)</f>
        <v>0</v>
      </c>
    </row>
    <row r="12" customFormat="false" ht="15" hidden="false" customHeight="false" outlineLevel="0" collapsed="false">
      <c r="B12" s="3" t="s">
        <v>22</v>
      </c>
      <c r="C12" s="12" t="n">
        <v>0</v>
      </c>
    </row>
    <row r="13" customFormat="false" ht="15" hidden="false" customHeight="false" outlineLevel="0" collapsed="false">
      <c r="B13" s="7" t="s">
        <v>23</v>
      </c>
      <c r="C13" s="9" t="str">
        <f aca="false">IFERROR(C12/C10,"-")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24</v>
      </c>
    </row>
    <row r="4" customFormat="false" ht="15" hidden="false" customHeight="false" outlineLevel="0" collapsed="false">
      <c r="B4" s="13" t="s">
        <v>25</v>
      </c>
    </row>
    <row r="5" customFormat="false" ht="15" hidden="false" customHeight="false" outlineLevel="0" collapsed="false">
      <c r="B5" s="7" t="s">
        <v>26</v>
      </c>
      <c r="C5" s="14" t="n">
        <v>0</v>
      </c>
    </row>
    <row r="6" customFormat="false" ht="15" hidden="false" customHeight="false" outlineLevel="0" collapsed="false">
      <c r="B6" s="7" t="s">
        <v>27</v>
      </c>
      <c r="C6" s="15" t="n">
        <v>0</v>
      </c>
    </row>
    <row r="7" customFormat="false" ht="15" hidden="false" customHeight="false" outlineLevel="0" collapsed="false">
      <c r="B7" s="7" t="s">
        <v>28</v>
      </c>
      <c r="C7" s="15" t="n">
        <v>0</v>
      </c>
    </row>
    <row r="8" customFormat="false" ht="15" hidden="false" customHeight="false" outlineLevel="0" collapsed="false">
      <c r="B8" s="7" t="s">
        <v>29</v>
      </c>
      <c r="C8" s="15" t="n">
        <v>0</v>
      </c>
    </row>
    <row r="10" customFormat="false" ht="15" hidden="false" customHeight="false" outlineLevel="0" collapsed="false">
      <c r="B10" s="13" t="s">
        <v>30</v>
      </c>
    </row>
    <row r="11" customFormat="false" ht="15" hidden="false" customHeight="false" outlineLevel="0" collapsed="false">
      <c r="B11" s="1" t="s">
        <v>31</v>
      </c>
      <c r="C11" s="16" t="n">
        <f aca="false">C5*Tokenomics!C12</f>
        <v>0</v>
      </c>
    </row>
    <row r="12" customFormat="false" ht="15" hidden="false" customHeight="false" outlineLevel="0" collapsed="false">
      <c r="B12" s="1" t="s">
        <v>32</v>
      </c>
      <c r="C12" s="16" t="n">
        <f aca="false">C5*Tokenomics!C10</f>
        <v>0</v>
      </c>
    </row>
    <row r="13" customFormat="false" ht="15" hidden="false" customHeight="false" outlineLevel="0" collapsed="false">
      <c r="B13" s="1" t="s">
        <v>33</v>
      </c>
      <c r="C13" s="17" t="str">
        <f aca="false">IFERROR(C11/C6,"-")</f>
        <v>-</v>
      </c>
    </row>
    <row r="14" customFormat="false" ht="15" hidden="false" customHeight="false" outlineLevel="0" collapsed="false">
      <c r="B14" s="1" t="s">
        <v>34</v>
      </c>
      <c r="C14" s="17" t="str">
        <f aca="false">IFERROR(C12/C6,"-")</f>
        <v>-</v>
      </c>
    </row>
    <row r="15" customFormat="false" ht="15" hidden="false" customHeight="false" outlineLevel="0" collapsed="false">
      <c r="B15" s="1" t="s">
        <v>35</v>
      </c>
      <c r="C15" s="17" t="str">
        <f aca="false">IFERROR(C11/C7,"-")</f>
        <v>-</v>
      </c>
    </row>
    <row r="16" customFormat="false" ht="15" hidden="false" customHeight="false" outlineLevel="0" collapsed="false">
      <c r="B16" s="1" t="s">
        <v>36</v>
      </c>
      <c r="C16" s="17" t="str">
        <f aca="false">IFERROR(C11/(C8*365),"-")</f>
        <v>-</v>
      </c>
      <c r="D16" s="1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38</v>
      </c>
    </row>
    <row r="4" customFormat="false" ht="15" hidden="false" customHeight="false" outlineLevel="0" collapsed="false">
      <c r="B4" s="13" t="s">
        <v>25</v>
      </c>
    </row>
    <row r="5" customFormat="false" ht="15" hidden="false" customHeight="false" outlineLevel="0" collapsed="false">
      <c r="B5" s="7" t="s">
        <v>39</v>
      </c>
      <c r="C5" s="18" t="n">
        <v>0</v>
      </c>
    </row>
    <row r="6" customFormat="false" ht="15" hidden="false" customHeight="false" outlineLevel="0" collapsed="false">
      <c r="B6" s="7" t="s">
        <v>40</v>
      </c>
      <c r="C6" s="19" t="n">
        <v>0</v>
      </c>
    </row>
    <row r="7" customFormat="false" ht="15" hidden="false" customHeight="false" outlineLevel="0" collapsed="false">
      <c r="B7" s="7" t="s">
        <v>41</v>
      </c>
      <c r="C7" s="15" t="n">
        <v>0</v>
      </c>
    </row>
    <row r="8" customFormat="false" ht="15" hidden="false" customHeight="false" outlineLevel="0" collapsed="false">
      <c r="B8" s="7" t="s">
        <v>42</v>
      </c>
      <c r="C8" s="14" t="n">
        <v>0</v>
      </c>
    </row>
    <row r="10" customFormat="false" ht="15" hidden="false" customHeight="false" outlineLevel="0" collapsed="false">
      <c r="B10" s="13" t="s">
        <v>30</v>
      </c>
    </row>
    <row r="11" customFormat="false" ht="15" hidden="false" customHeight="false" outlineLevel="0" collapsed="false">
      <c r="B11" s="1" t="s">
        <v>43</v>
      </c>
      <c r="C11" s="20" t="n">
        <f aca="false">C5*Tokenomics!C12</f>
        <v>0</v>
      </c>
    </row>
    <row r="12" customFormat="false" ht="15" hidden="false" customHeight="false" outlineLevel="0" collapsed="false">
      <c r="B12" s="1" t="s">
        <v>44</v>
      </c>
      <c r="C12" s="21" t="str">
        <f aca="false">IFERROR(C6/C11,"-")</f>
        <v>-</v>
      </c>
    </row>
    <row r="13" customFormat="false" ht="15" hidden="false" customHeight="false" outlineLevel="0" collapsed="false">
      <c r="B13" s="1" t="s">
        <v>45</v>
      </c>
      <c r="C13" s="21" t="str">
        <f aca="false">IFERROR(C7/(C11*C8),"-")</f>
        <v>-</v>
      </c>
    </row>
    <row r="14" customFormat="false" ht="15" hidden="false" customHeight="false" outlineLevel="0" collapsed="false">
      <c r="B14" s="1" t="s">
        <v>46</v>
      </c>
      <c r="C14" s="22" t="str">
        <f aca="false">IFERROR(C13-C12,"-")</f>
        <v>-</v>
      </c>
      <c r="D14" s="10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48</v>
      </c>
    </row>
    <row r="3" customFormat="false" ht="15" hidden="false" customHeight="false" outlineLevel="0" collapsed="false">
      <c r="B3" s="10" t="s">
        <v>49</v>
      </c>
    </row>
    <row r="5" customFormat="false" ht="15" hidden="false" customHeight="false" outlineLevel="0" collapsed="false">
      <c r="B5" s="13" t="s">
        <v>25</v>
      </c>
    </row>
    <row r="6" customFormat="false" ht="15" hidden="false" customHeight="false" outlineLevel="0" collapsed="false">
      <c r="B6" s="7" t="s">
        <v>50</v>
      </c>
      <c r="C6" s="14" t="n">
        <v>0</v>
      </c>
    </row>
    <row r="7" customFormat="false" ht="15" hidden="false" customHeight="false" outlineLevel="0" collapsed="false">
      <c r="B7" s="7" t="s">
        <v>51</v>
      </c>
      <c r="C7" s="14" t="n">
        <v>0</v>
      </c>
    </row>
    <row r="8" customFormat="false" ht="15" hidden="false" customHeight="false" outlineLevel="0" collapsed="false">
      <c r="B8" s="7" t="s">
        <v>52</v>
      </c>
      <c r="C8" s="19" t="n">
        <v>8</v>
      </c>
    </row>
    <row r="9" customFormat="false" ht="15" hidden="false" customHeight="false" outlineLevel="0" collapsed="false">
      <c r="B9" s="7" t="s">
        <v>53</v>
      </c>
      <c r="C9" s="15" t="n">
        <v>0</v>
      </c>
    </row>
    <row r="11" customFormat="false" ht="15" hidden="false" customHeight="false" outlineLevel="0" collapsed="false">
      <c r="B11" s="13" t="s">
        <v>54</v>
      </c>
    </row>
    <row r="12" customFormat="false" ht="15" hidden="false" customHeight="false" outlineLevel="0" collapsed="false">
      <c r="B12" s="1" t="s">
        <v>55</v>
      </c>
      <c r="C12" s="23" t="str">
        <f aca="false">IFERROR((C6-C7)/C7,"-")</f>
        <v>-</v>
      </c>
    </row>
    <row r="13" customFormat="false" ht="15" hidden="false" customHeight="false" outlineLevel="0" collapsed="false">
      <c r="B13" s="1" t="s">
        <v>56</v>
      </c>
      <c r="C13" s="24" t="str">
        <f aca="false">C12</f>
        <v>-</v>
      </c>
      <c r="D13" s="10" t="s">
        <v>57</v>
      </c>
    </row>
    <row r="14" customFormat="false" ht="15" hidden="false" customHeight="false" outlineLevel="0" collapsed="false">
      <c r="B14" s="1" t="s">
        <v>58</v>
      </c>
      <c r="C14" s="20" t="n">
        <f aca="false">IFERROR(365*24/C8,"-")</f>
        <v>1095</v>
      </c>
    </row>
    <row r="15" customFormat="false" ht="15" hidden="false" customHeight="false" outlineLevel="0" collapsed="false">
      <c r="B15" s="1" t="s">
        <v>59</v>
      </c>
      <c r="C15" s="22" t="str">
        <f aca="false">IFERROR(C13*C14,"-")</f>
        <v>-</v>
      </c>
    </row>
    <row r="17" customFormat="false" ht="15" hidden="false" customHeight="false" outlineLevel="0" collapsed="false">
      <c r="B17" s="13" t="s">
        <v>60</v>
      </c>
    </row>
    <row r="18" customFormat="false" ht="15" hidden="false" customHeight="false" outlineLevel="0" collapsed="false">
      <c r="B18" s="1" t="s">
        <v>61</v>
      </c>
      <c r="C18" s="16" t="str">
        <f aca="false">IFERROR(C9*C13,"-")</f>
        <v>-</v>
      </c>
    </row>
    <row r="19" customFormat="false" ht="15" hidden="false" customHeight="false" outlineLevel="0" collapsed="false">
      <c r="B19" s="1" t="s">
        <v>62</v>
      </c>
      <c r="C19" s="25" t="str">
        <f aca="false">IFERROR(C9*C15,"-")</f>
        <v>-</v>
      </c>
    </row>
    <row r="21" customFormat="false" ht="15" hidden="false" customHeight="false" outlineLevel="0" collapsed="false">
      <c r="B21" s="1" t="s">
        <v>63</v>
      </c>
      <c r="C21" s="5" t="s">
        <v>64</v>
      </c>
      <c r="D21" s="5" t="s">
        <v>65</v>
      </c>
      <c r="E21" s="5" t="s">
        <v>66</v>
      </c>
      <c r="F21" s="5" t="s">
        <v>67</v>
      </c>
      <c r="G21" s="5" t="s">
        <v>68</v>
      </c>
    </row>
    <row r="22" customFormat="false" ht="15" hidden="false" customHeight="false" outlineLevel="0" collapsed="false">
      <c r="B22" s="1" t="s">
        <v>69</v>
      </c>
      <c r="C22" s="16" t="n">
        <f aca="false">$C$9*-0.2</f>
        <v>-0</v>
      </c>
      <c r="D22" s="16" t="n">
        <f aca="false">$C$9*-0.1</f>
        <v>-0</v>
      </c>
      <c r="E22" s="16" t="n">
        <f aca="false">$C$9*0</f>
        <v>0</v>
      </c>
      <c r="F22" s="16" t="n">
        <f aca="false">$C$9*0.1</f>
        <v>0</v>
      </c>
      <c r="G22" s="16" t="n">
        <f aca="false">$C$9*0.2</f>
        <v>0</v>
      </c>
    </row>
    <row r="23" customFormat="false" ht="15" hidden="false" customHeight="false" outlineLevel="0" collapsed="false">
      <c r="B23" s="1" t="s">
        <v>70</v>
      </c>
      <c r="C23" s="16" t="n">
        <f aca="false">-$C$9*-0.2</f>
        <v>0</v>
      </c>
      <c r="D23" s="16" t="n">
        <f aca="false">-$C$9*-0.1</f>
        <v>0</v>
      </c>
      <c r="E23" s="16" t="n">
        <f aca="false">-$C$9*0</f>
        <v>-0</v>
      </c>
      <c r="F23" s="16" t="n">
        <f aca="false">-$C$9*0.1</f>
        <v>-0</v>
      </c>
      <c r="G23" s="16" t="n">
        <f aca="false">-$C$9*0.2</f>
        <v>-0</v>
      </c>
    </row>
    <row r="24" customFormat="false" ht="15" hidden="false" customHeight="false" outlineLevel="0" collapsed="false">
      <c r="B24" s="3" t="s">
        <v>71</v>
      </c>
      <c r="C24" s="16" t="n">
        <f aca="false">C22+C23</f>
        <v>0</v>
      </c>
      <c r="D24" s="16" t="n">
        <f aca="false">D22+D23</f>
        <v>0</v>
      </c>
      <c r="E24" s="16" t="n">
        <f aca="false">E22+E23</f>
        <v>0</v>
      </c>
      <c r="F24" s="16" t="n">
        <f aca="false">F22+F23</f>
        <v>0</v>
      </c>
      <c r="G24" s="16" t="n">
        <f aca="false">G22+G23</f>
        <v>0</v>
      </c>
    </row>
    <row r="26" customFormat="false" ht="15" hidden="false" customHeight="false" outlineLevel="0" collapsed="false">
      <c r="B26" s="10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6" min="3" style="1" width="14"/>
    <col collapsed="false" customWidth="true" hidden="false" outlineLevel="0" max="9" min="7" style="1" width="12"/>
  </cols>
  <sheetData>
    <row r="2" customFormat="false" ht="19.7" hidden="false" customHeight="false" outlineLevel="0" collapsed="false">
      <c r="B2" s="2" t="s">
        <v>73</v>
      </c>
    </row>
    <row r="4" customFormat="false" ht="15" hidden="false" customHeight="false" outlineLevel="0" collapsed="false">
      <c r="A4" s="5"/>
      <c r="B4" s="5" t="s">
        <v>74</v>
      </c>
      <c r="C4" s="5" t="s">
        <v>75</v>
      </c>
      <c r="D4" s="5" t="s">
        <v>76</v>
      </c>
      <c r="E4" s="5" t="s">
        <v>77</v>
      </c>
      <c r="F4" s="5" t="s">
        <v>78</v>
      </c>
      <c r="G4" s="5" t="s">
        <v>79</v>
      </c>
      <c r="H4" s="5" t="s">
        <v>80</v>
      </c>
      <c r="I4" s="6" t="s">
        <v>81</v>
      </c>
    </row>
    <row r="5" customFormat="false" ht="15" hidden="false" customHeight="false" outlineLevel="0" collapsed="false">
      <c r="B5" s="3" t="s">
        <v>82</v>
      </c>
      <c r="C5" s="26" t="n">
        <f aca="false">Valuation!C11</f>
        <v>0</v>
      </c>
      <c r="D5" s="26" t="n">
        <f aca="false">Valuation!C12</f>
        <v>0</v>
      </c>
      <c r="E5" s="26" t="n">
        <f aca="false">Valuation!C6</f>
        <v>0</v>
      </c>
      <c r="F5" s="26" t="n">
        <f aca="false">Valuation!C8</f>
        <v>0</v>
      </c>
      <c r="G5" s="17" t="str">
        <f aca="false">IFERROR(C5/E5,"-")</f>
        <v>-</v>
      </c>
      <c r="H5" s="17" t="str">
        <f aca="false">IFERROR(D5/E5,"-")</f>
        <v>-</v>
      </c>
      <c r="I5" s="17" t="str">
        <f aca="false">IFERROR(C5/(F5*365),"-")</f>
        <v>-</v>
      </c>
    </row>
    <row r="6" customFormat="false" ht="15" hidden="false" customHeight="false" outlineLevel="0" collapsed="false">
      <c r="B6" s="27" t="s">
        <v>2</v>
      </c>
      <c r="C6" s="28" t="n">
        <v>0</v>
      </c>
      <c r="D6" s="28" t="n">
        <v>0</v>
      </c>
      <c r="E6" s="28" t="n">
        <v>0</v>
      </c>
      <c r="F6" s="28" t="n">
        <v>0</v>
      </c>
      <c r="G6" s="17" t="str">
        <f aca="false">IFERROR(C6/E6,"-")</f>
        <v>-</v>
      </c>
      <c r="H6" s="17" t="str">
        <f aca="false">IFERROR(D6/E6,"-")</f>
        <v>-</v>
      </c>
      <c r="I6" s="17" t="str">
        <f aca="false">IFERROR(C6/(F6*365),"-")</f>
        <v>-</v>
      </c>
    </row>
    <row r="7" customFormat="false" ht="15" hidden="false" customHeight="false" outlineLevel="0" collapsed="false">
      <c r="B7" s="27" t="s">
        <v>2</v>
      </c>
      <c r="C7" s="28" t="n">
        <v>0</v>
      </c>
      <c r="D7" s="28" t="n">
        <v>0</v>
      </c>
      <c r="E7" s="28" t="n">
        <v>0</v>
      </c>
      <c r="F7" s="28" t="n">
        <v>0</v>
      </c>
      <c r="G7" s="17" t="str">
        <f aca="false">IFERROR(C7/E7,"-")</f>
        <v>-</v>
      </c>
      <c r="H7" s="17" t="str">
        <f aca="false">IFERROR(D7/E7,"-")</f>
        <v>-</v>
      </c>
      <c r="I7" s="17" t="str">
        <f aca="false">IFERROR(C7/(F7*365),"-")</f>
        <v>-</v>
      </c>
    </row>
    <row r="8" customFormat="false" ht="15" hidden="false" customHeight="false" outlineLevel="0" collapsed="false">
      <c r="B8" s="27" t="s">
        <v>2</v>
      </c>
      <c r="C8" s="28" t="n">
        <v>0</v>
      </c>
      <c r="D8" s="28" t="n">
        <v>0</v>
      </c>
      <c r="E8" s="28" t="n">
        <v>0</v>
      </c>
      <c r="F8" s="28" t="n">
        <v>0</v>
      </c>
      <c r="G8" s="17" t="str">
        <f aca="false">IFERROR(C8/E8,"-")</f>
        <v>-</v>
      </c>
      <c r="H8" s="17" t="str">
        <f aca="false">IFERROR(D8/E8,"-")</f>
        <v>-</v>
      </c>
      <c r="I8" s="17" t="str">
        <f aca="false">IFERROR(C8/(F8*365),"-")</f>
        <v>-</v>
      </c>
    </row>
    <row r="9" customFormat="false" ht="15" hidden="false" customHeight="false" outlineLevel="0" collapsed="false">
      <c r="B9" s="27" t="s">
        <v>2</v>
      </c>
      <c r="C9" s="28" t="n">
        <v>0</v>
      </c>
      <c r="D9" s="28" t="n">
        <v>0</v>
      </c>
      <c r="E9" s="28" t="n">
        <v>0</v>
      </c>
      <c r="F9" s="28" t="n">
        <v>0</v>
      </c>
      <c r="G9" s="17" t="str">
        <f aca="false">IFERROR(C9/E9,"-")</f>
        <v>-</v>
      </c>
      <c r="H9" s="17" t="str">
        <f aca="false">IFERROR(D9/E9,"-")</f>
        <v>-</v>
      </c>
      <c r="I9" s="17" t="str">
        <f aca="false">IFERROR(C9/(F9*365),"-")</f>
        <v>-</v>
      </c>
    </row>
    <row r="10" customFormat="false" ht="15" hidden="false" customHeight="false" outlineLevel="0" collapsed="false">
      <c r="B10" s="27" t="s">
        <v>2</v>
      </c>
      <c r="C10" s="28" t="n">
        <v>0</v>
      </c>
      <c r="D10" s="28" t="n">
        <v>0</v>
      </c>
      <c r="E10" s="28" t="n">
        <v>0</v>
      </c>
      <c r="F10" s="28" t="n">
        <v>0</v>
      </c>
      <c r="G10" s="17" t="str">
        <f aca="false">IFERROR(C10/E10,"-")</f>
        <v>-</v>
      </c>
      <c r="H10" s="17" t="str">
        <f aca="false">IFERROR(D10/E10,"-")</f>
        <v>-</v>
      </c>
      <c r="I10" s="17" t="str">
        <f aca="false">IFERROR(C10/(F10*365),"-")</f>
        <v>-</v>
      </c>
    </row>
    <row r="11" customFormat="false" ht="15" hidden="false" customHeight="false" outlineLevel="0" collapsed="false">
      <c r="B11" s="27" t="s">
        <v>2</v>
      </c>
      <c r="C11" s="28" t="n">
        <v>0</v>
      </c>
      <c r="D11" s="28" t="n">
        <v>0</v>
      </c>
      <c r="E11" s="28" t="n">
        <v>0</v>
      </c>
      <c r="F11" s="28" t="n">
        <v>0</v>
      </c>
      <c r="G11" s="17" t="str">
        <f aca="false">IFERROR(C11/E11,"-")</f>
        <v>-</v>
      </c>
      <c r="H11" s="17" t="str">
        <f aca="false">IFERROR(D11/E11,"-")</f>
        <v>-</v>
      </c>
      <c r="I11" s="17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83</v>
      </c>
    </row>
    <row r="4" customFormat="false" ht="15" hidden="false" customHeight="false" outlineLevel="0" collapsed="false">
      <c r="B4" s="1" t="s">
        <v>84</v>
      </c>
      <c r="C4" s="18" t="n">
        <v>0.05</v>
      </c>
      <c r="D4" s="10" t="s">
        <v>85</v>
      </c>
    </row>
    <row r="6" customFormat="false" ht="15" hidden="false" customHeight="false" outlineLevel="0" collapsed="false">
      <c r="C6" s="5" t="s">
        <v>86</v>
      </c>
      <c r="D6" s="5" t="s">
        <v>87</v>
      </c>
      <c r="E6" s="5" t="s">
        <v>88</v>
      </c>
      <c r="F6" s="5" t="s">
        <v>89</v>
      </c>
      <c r="G6" s="5" t="s">
        <v>90</v>
      </c>
    </row>
    <row r="7" customFormat="false" ht="15" hidden="false" customHeight="false" outlineLevel="0" collapsed="false">
      <c r="B7" s="1" t="s">
        <v>91</v>
      </c>
      <c r="C7" s="29" t="n">
        <f aca="false">Tokenomics!C12</f>
        <v>0</v>
      </c>
      <c r="D7" s="20" t="n">
        <f aca="false">MIN(Tokenomics!$C$10,C7+Tokenomics!$C$10*$C$4)</f>
        <v>0</v>
      </c>
      <c r="E7" s="20" t="n">
        <f aca="false">MIN(Tokenomics!$C$10,D7+Tokenomics!$C$10*$C$4)</f>
        <v>0</v>
      </c>
      <c r="F7" s="20" t="n">
        <f aca="false">MIN(Tokenomics!$C$10,E7+Tokenomics!$C$10*$C$4)</f>
        <v>0</v>
      </c>
      <c r="G7" s="20" t="n">
        <f aca="false">MIN(Tokenomics!$C$10,F7+Tokenomics!$C$10*$C$4)</f>
        <v>0</v>
      </c>
    </row>
    <row r="8" customFormat="false" ht="15" hidden="false" customHeight="false" outlineLevel="0" collapsed="false">
      <c r="B8" s="1" t="s">
        <v>92</v>
      </c>
      <c r="C8" s="21" t="str">
        <f aca="false">IFERROR(1-$C$7/C7,"-")</f>
        <v>-</v>
      </c>
      <c r="D8" s="21" t="str">
        <f aca="false">IFERROR(1-$C$7/D7,"-")</f>
        <v>-</v>
      </c>
      <c r="E8" s="21" t="str">
        <f aca="false">IFERROR(1-$C$7/E7,"-")</f>
        <v>-</v>
      </c>
      <c r="F8" s="21" t="str">
        <f aca="false">IFERROR(1-$C$7/F7,"-")</f>
        <v>-</v>
      </c>
      <c r="G8" s="21" t="str">
        <f aca="false">IFERROR(1-$C$7/G7,"-")</f>
        <v>-</v>
      </c>
    </row>
    <row r="9" customFormat="false" ht="15" hidden="false" customHeight="false" outlineLevel="0" collapsed="false">
      <c r="B9" s="1" t="s">
        <v>93</v>
      </c>
      <c r="C9" s="16" t="n">
        <f aca="false">Valuation!$C$5*C7</f>
        <v>0</v>
      </c>
      <c r="D9" s="16" t="n">
        <f aca="false">Valuation!$C$5*D7</f>
        <v>0</v>
      </c>
      <c r="E9" s="16" t="n">
        <f aca="false">Valuation!$C$5*E7</f>
        <v>0</v>
      </c>
      <c r="F9" s="16" t="n">
        <f aca="false">Valuation!$C$5*F7</f>
        <v>0</v>
      </c>
      <c r="G9" s="16" t="n">
        <f aca="false">Valuation!$C$5*G7</f>
        <v>0</v>
      </c>
    </row>
    <row r="10" customFormat="false" ht="15" hidden="false" customHeight="false" outlineLevel="0" collapsed="false">
      <c r="B10" s="10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95</v>
      </c>
    </row>
    <row r="3" customFormat="false" ht="15" hidden="false" customHeight="false" outlineLevel="0" collapsed="false">
      <c r="B3" s="10" t="s">
        <v>96</v>
      </c>
    </row>
    <row r="5" customFormat="false" ht="15" hidden="false" customHeight="false" outlineLevel="0" collapsed="false">
      <c r="B5" s="5" t="s">
        <v>97</v>
      </c>
      <c r="C5" s="5" t="s">
        <v>98</v>
      </c>
      <c r="D5" s="5" t="s">
        <v>99</v>
      </c>
      <c r="E5" s="5" t="s">
        <v>100</v>
      </c>
    </row>
    <row r="6" customFormat="false" ht="15" hidden="false" customHeight="false" outlineLevel="0" collapsed="false">
      <c r="B6" s="30" t="s">
        <v>101</v>
      </c>
      <c r="C6" s="30" t="s">
        <v>102</v>
      </c>
      <c r="D6" s="30" t="s">
        <v>103</v>
      </c>
      <c r="E6" s="31" t="s">
        <v>104</v>
      </c>
    </row>
    <row r="7" customFormat="false" ht="15" hidden="false" customHeight="false" outlineLevel="0" collapsed="false">
      <c r="B7" s="30" t="s">
        <v>105</v>
      </c>
      <c r="C7" s="30" t="s">
        <v>106</v>
      </c>
      <c r="D7" s="30" t="s">
        <v>103</v>
      </c>
      <c r="E7" s="31" t="s">
        <v>107</v>
      </c>
    </row>
    <row r="8" customFormat="false" ht="15" hidden="false" customHeight="false" outlineLevel="0" collapsed="false">
      <c r="B8" s="30" t="s">
        <v>108</v>
      </c>
      <c r="C8" s="30" t="s">
        <v>109</v>
      </c>
      <c r="D8" s="30" t="s">
        <v>103</v>
      </c>
      <c r="E8" s="31" t="s">
        <v>110</v>
      </c>
    </row>
    <row r="9" customFormat="false" ht="15" hidden="false" customHeight="false" outlineLevel="0" collapsed="false">
      <c r="B9" s="30" t="s">
        <v>111</v>
      </c>
      <c r="C9" s="30" t="s">
        <v>112</v>
      </c>
      <c r="D9" s="30" t="s">
        <v>103</v>
      </c>
      <c r="E9" s="31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114</v>
      </c>
    </row>
    <row r="3" customFormat="false" ht="15" hidden="false" customHeight="false" outlineLevel="0" collapsed="false">
      <c r="B3" s="10" t="s">
        <v>115</v>
      </c>
    </row>
    <row r="5" customFormat="false" ht="15" hidden="false" customHeight="false" outlineLevel="0" collapsed="false">
      <c r="B5" s="5" t="s">
        <v>116</v>
      </c>
      <c r="C5" s="5" t="s">
        <v>117</v>
      </c>
      <c r="D5" s="5" t="s">
        <v>118</v>
      </c>
    </row>
    <row r="6" customFormat="false" ht="15" hidden="false" customHeight="false" outlineLevel="0" collapsed="false">
      <c r="B6" s="30" t="s">
        <v>119</v>
      </c>
      <c r="C6" s="32" t="n">
        <f aca="false">SUMPRODUCT(ABS('Perp Funding &amp; Basis'!C24:G24))</f>
        <v>0</v>
      </c>
      <c r="D6" s="31" t="s">
        <v>120</v>
      </c>
    </row>
    <row r="7" customFormat="false" ht="15" hidden="false" customHeight="false" outlineLevel="0" collapsed="false">
      <c r="B7" s="30" t="s">
        <v>121</v>
      </c>
      <c r="C7" s="32" t="str">
        <f aca="false">IFERROR('Perp Funding &amp; Basis'!C19-('Perp Funding &amp; Basis'!C9*'Perp Funding &amp; Basis'!C15),"-")</f>
        <v>-</v>
      </c>
      <c r="D7" s="31" t="s">
        <v>122</v>
      </c>
    </row>
    <row r="8" customFormat="false" ht="15" hidden="false" customHeight="false" outlineLevel="0" collapsed="false">
      <c r="B8" s="30" t="s">
        <v>123</v>
      </c>
      <c r="C8" s="32" t="n">
        <f aca="false">SUM(Tokenomics!D5:D9)</f>
        <v>0</v>
      </c>
      <c r="D8" s="31" t="s">
        <v>124</v>
      </c>
    </row>
    <row r="9" customFormat="false" ht="15" hidden="false" customHeight="false" outlineLevel="0" collapsed="false">
      <c r="B9" s="30" t="s">
        <v>125</v>
      </c>
      <c r="C9" s="32" t="b">
        <f aca="false">IF(MAX('Supply Emission Schedule'!C7:G7)&lt;=Tokenomics!C10,TRUE(),FALSE())</f>
        <v>1</v>
      </c>
      <c r="D9" s="31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127</v>
      </c>
    </row>
    <row r="4" customFormat="false" ht="15" hidden="false" customHeight="false" outlineLevel="0" collapsed="false">
      <c r="B4" s="5" t="s">
        <v>128</v>
      </c>
      <c r="C4" s="5" t="s">
        <v>129</v>
      </c>
      <c r="D4" s="5" t="s">
        <v>130</v>
      </c>
      <c r="E4" s="5" t="s">
        <v>131</v>
      </c>
      <c r="F4" s="5" t="s">
        <v>132</v>
      </c>
    </row>
    <row r="5" customFormat="false" ht="15" hidden="false" customHeight="false" outlineLevel="0" collapsed="false">
      <c r="B5" s="33"/>
      <c r="C5" s="33"/>
      <c r="D5" s="33"/>
      <c r="E5" s="33"/>
      <c r="F5" s="33"/>
    </row>
    <row r="6" customFormat="false" ht="15" hidden="false" customHeight="false" outlineLevel="0" collapsed="false">
      <c r="B6" s="33"/>
      <c r="C6" s="33"/>
      <c r="D6" s="33"/>
      <c r="E6" s="33"/>
      <c r="F6" s="33"/>
    </row>
    <row r="7" customFormat="false" ht="15" hidden="false" customHeight="false" outlineLevel="0" collapsed="false">
      <c r="B7" s="33"/>
      <c r="C7" s="33"/>
      <c r="D7" s="33"/>
      <c r="E7" s="33"/>
      <c r="F7" s="33"/>
    </row>
    <row r="8" customFormat="false" ht="15" hidden="false" customHeight="false" outlineLevel="0" collapsed="false">
      <c r="B8" s="33"/>
      <c r="C8" s="33"/>
      <c r="D8" s="33"/>
      <c r="E8" s="33"/>
      <c r="F8" s="33"/>
    </row>
    <row r="9" customFormat="false" ht="15" hidden="false" customHeight="false" outlineLevel="0" collapsed="false">
      <c r="B9" s="33"/>
      <c r="C9" s="33"/>
      <c r="D9" s="33"/>
      <c r="E9" s="33"/>
      <c r="F9" s="33"/>
    </row>
    <row r="10" customFormat="false" ht="15" hidden="false" customHeight="false" outlineLevel="0" collapsed="false">
      <c r="B10" s="33"/>
      <c r="C10" s="33"/>
      <c r="D10" s="33"/>
      <c r="E10" s="33"/>
      <c r="F10" s="33"/>
    </row>
    <row r="11" customFormat="false" ht="15" hidden="false" customHeight="false" outlineLevel="0" collapsed="false">
      <c r="B11" s="33"/>
      <c r="C11" s="33"/>
      <c r="D11" s="33"/>
      <c r="E11" s="33"/>
      <c r="F11" s="33"/>
    </row>
    <row r="12" customFormat="false" ht="15" hidden="false" customHeight="false" outlineLevel="0" collapsed="false">
      <c r="B12" s="33"/>
      <c r="C12" s="33"/>
      <c r="D12" s="33"/>
      <c r="E12" s="33"/>
      <c r="F12" s="33"/>
    </row>
    <row r="13" customFormat="false" ht="15" hidden="false" customHeight="false" outlineLevel="0" collapsed="false">
      <c r="B13" s="33"/>
      <c r="C13" s="33"/>
      <c r="D13" s="33"/>
      <c r="E13" s="33"/>
      <c r="F13" s="33"/>
    </row>
    <row r="14" customFormat="false" ht="15" hidden="false" customHeight="false" outlineLevel="0" collapsed="false">
      <c r="B14" s="33"/>
      <c r="C14" s="33"/>
      <c r="D14" s="33"/>
      <c r="E14" s="33"/>
      <c r="F1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2026-08-04T14:02:52Z</dcterms:created>
  <dc:creator>openpyxl</dc:creator>
  <dc:description/>
  <dc:language>en-US</dc:language>
  <cp:lastModifiedBy/>
  <dcterms:modified xsi:type="dcterms:W3CDTF">2026-08-04T14:02:52Z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