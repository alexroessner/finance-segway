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Loan Portfolio" sheetId="2" state="visible" r:id="rId4"/>
    <sheet name="Sustainability" sheetId="3" state="visible" r:id="rId5"/>
    <sheet name="Provisioning" sheetId="4" state="visible" r:id="rId6"/>
    <sheet name="Flat vs Declining Rate" sheetId="5" state="visible" r:id="rId7"/>
    <sheet name="Growth &amp; Productivity" sheetId="6" state="visible" r:id="rId8"/>
    <sheet name="Sources" sheetId="7" state="visible" r:id="rId9"/>
    <sheet name="Checks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<sst xmlns="http://schemas.openxmlformats.org/spreadsheetml/2006/main" count="143" uniqueCount="137">
  <si>
    <t xml:space="preserve">[MFI] — Microfinance Model</t>
  </si>
  <si>
    <t xml:space="preserve">Institution:</t>
  </si>
  <si>
    <t xml:space="preserve">[fill in]</t>
  </si>
  <si>
    <t xml:space="preserve">Region: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</si>
  <si>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</si>
  <si>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</si>
  <si>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</si>
  <si>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</si>
  <si>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Loan Portfolio Overview</t>
  </si>
  <si>
    <t xml:space="preserve">Gross loan portfolio (GLP, $)</t>
  </si>
  <si>
    <t xml:space="preserve">Number of active borrowers</t>
  </si>
  <si>
    <t xml:space="preserve">Portfolio at risk &gt;30 days ($)</t>
  </si>
  <si>
    <t xml:space="preserve">Portfolio at risk &gt;90 days ($)</t>
  </si>
  <si>
    <t xml:space="preserve">Write-offs this period ($)</t>
  </si>
  <si>
    <t xml:space="preserve">Average loan balance ($)</t>
  </si>
  <si>
    <t xml:space="preserve">Portfolio Quality</t>
  </si>
  <si>
    <t xml:space="preserve">PAR 30 %</t>
  </si>
  <si>
    <t xml:space="preserve">PAR 90 %</t>
  </si>
  <si>
    <t xml:space="preserve">Write-off ratio (annualized)</t>
  </si>
  <si>
    <t xml:space="preserve">Avg loan / borrower check</t>
  </si>
  <si>
    <t xml:space="preserve">Operational &amp; Financial Self-Sufficiency (OSS/FSS)</t>
  </si>
  <si>
    <t xml:space="preserve">Inputs</t>
  </si>
  <si>
    <t xml:space="preserve">Financial revenue (interest + fees, $)</t>
  </si>
  <si>
    <t xml:space="preserve">Financial expense (cost of funds, $)</t>
  </si>
  <si>
    <t xml:space="preserve">Loan loss provision expense ($)</t>
  </si>
  <si>
    <t xml:space="preserve">Operating expense ($)</t>
  </si>
  <si>
    <t xml:space="preserve">Cost of capital at market rate (imputed, $)</t>
  </si>
  <si>
    <t xml:space="preserve">Outputs</t>
  </si>
  <si>
    <t xml:space="preserve">Operational Self-Sufficiency (OSS) = Rev / (Fin exp + Loss prov + Opex)</t>
  </si>
  <si>
    <t xml:space="preserve">&gt;100% = covering costs from operations, not subsidy-dependent</t>
  </si>
  <si>
    <t xml:space="preserve">Financial Self-Sufficiency (FSS) = Rev / (Fin exp + Loss prov + Opex + imputed cost of capital)</t>
  </si>
  <si>
    <t xml:space="preserve">Stricter than OSS — adjusts for subsidized funding cost vs. commercial rate</t>
  </si>
  <si>
    <t xml:space="preserve">Portfolio yield (Rev / avg GLP)</t>
  </si>
  <si>
    <t xml:space="preserve">Loan Loss Reserve Adequacy (days-past-due tiering)</t>
  </si>
  <si>
    <t xml:space="preserve">Aging bucket</t>
  </si>
  <si>
    <t xml:space="preserve">Outstanding balance ($)</t>
  </si>
  <si>
    <t xml:space="preserve">Reserve rate</t>
  </si>
  <si>
    <t xml:space="preserve">Required reserve ($)</t>
  </si>
  <si>
    <t xml:space="preserve">Current (0-30 days)</t>
  </si>
  <si>
    <t xml:space="preserve">31-90 days</t>
  </si>
  <si>
    <t xml:space="preserve">91-180 days</t>
  </si>
  <si>
    <t xml:space="preserve">180+ days / written off pending</t>
  </si>
  <si>
    <t xml:space="preserve">Total outstanding portfolio</t>
  </si>
  <si>
    <t xml:space="preserve">Total required reserve (sum of tiers)</t>
  </si>
  <si>
    <t xml:space="preserve">Actual reserve held ($)</t>
  </si>
  <si>
    <t xml:space="preserve">Reserve adequacy (actual / required)</t>
  </si>
  <si>
    <t xml:space="preserve">&lt;100% = under-reserved relative to portfolio risk profile — review provisioning policy</t>
  </si>
  <si>
    <t xml:space="preserve">Cross-check vs Loan Portfolio tab (should tie to GLP)</t>
  </si>
  <si>
    <t xml:space="preserve">Flat-Rate vs. Declining-Balance: the True Cost of a Loan</t>
  </si>
  <si>
    <t xml:space="preserve">Many MFIs quote a "flat" rate -- interest charged on the ORIGINAL principal every period, even as the balance amortizes down. The declining-balance rate that produces the SAME installment is always meaningfully higher: this is the core truth-in-lending gap the MFTransparency/CGAP pricing-transparency initiatives exist to surface.</t>
  </si>
  <si>
    <t xml:space="preserve">Loan principal ($)</t>
  </si>
  <si>
    <t xml:space="preserve">Quoted flat rate (per period, %)</t>
  </si>
  <si>
    <t xml:space="preserve">Number of periods (loan term)</t>
  </si>
  <si>
    <t xml:space="preserve">Flat-Rate Loan</t>
  </si>
  <si>
    <t xml:space="preserve">Interest per period (principal x flat rate, constant)</t>
  </si>
  <si>
    <t xml:space="preserve">Total interest over the loan</t>
  </si>
  <si>
    <t xml:space="preserve">Equal installment (principal + total interest) / n</t>
  </si>
  <si>
    <t xml:space="preserve">Quick Industry Approximation (CGAP/MFTransparency rule of thumb)</t>
  </si>
  <si>
    <t xml:space="preserve">Approx. declining-balance rate = 2 x n x flat rate / (n + 1)</t>
  </si>
  <si>
    <t xml:space="preserve">Standard closed-form approximation used in microfinance pricing-transparency training materials</t>
  </si>
  <si>
    <t xml:space="preserve">Exact Declining-Balance Rate (bisection solve, 16 steps)</t>
  </si>
  <si>
    <t xml:space="preserve">Solves for the periodic rate r such that a standard amortizing loan (P, r, n) has the SAME equal installment as the flat-rate loan above -- the actual apples-to-apples comparison rate.</t>
  </si>
  <si>
    <t xml:space="preserve">Step 1</t>
  </si>
  <si>
    <t xml:space="preserve">Step 2</t>
  </si>
  <si>
    <t xml:space="preserve">Step 3</t>
  </si>
  <si>
    <t xml:space="preserve">Step 4</t>
  </si>
  <si>
    <t xml:space="preserve">Step 5</t>
  </si>
  <si>
    <t xml:space="preserve">Step 6</t>
  </si>
  <si>
    <t xml:space="preserve">Step 7</t>
  </si>
  <si>
    <t xml:space="preserve">Step 8</t>
  </si>
  <si>
    <t xml:space="preserve">Step 9</t>
  </si>
  <si>
    <t xml:space="preserve">Step 10</t>
  </si>
  <si>
    <t xml:space="preserve">Step 11</t>
  </si>
  <si>
    <t xml:space="preserve">Step 12</t>
  </si>
  <si>
    <t xml:space="preserve">Step 13</t>
  </si>
  <si>
    <t xml:space="preserve">Step 14</t>
  </si>
  <si>
    <t xml:space="preserve">Step 15</t>
  </si>
  <si>
    <t xml:space="preserve">Step 16</t>
  </si>
  <si>
    <t xml:space="preserve">Low</t>
  </si>
  <si>
    <t xml:space="preserve">High</t>
  </si>
  <si>
    <t xml:space="preserve">Mid (candidate rate)</t>
  </si>
  <si>
    <t xml:space="preserve">Installment at mid</t>
  </si>
  <si>
    <t xml:space="preserve">f(mid) = installment - target</t>
  </si>
  <si>
    <t xml:space="preserve">Exact declining-balance rate (converged)</t>
  </si>
  <si>
    <t xml:space="preserve">Effective annualized rate (exact, compounded)</t>
  </si>
  <si>
    <t xml:space="preserve">Assumes monthly periods; adjust the compounding power if the loan's period isn't monthly</t>
  </si>
  <si>
    <t xml:space="preserve">Approximation error (quick rule vs. exact solve)</t>
  </si>
  <si>
    <t xml:space="preserve">True cost multiple (exact declining rate / quoted flat rate)</t>
  </si>
  <si>
    <t xml:space="preserve">A '2% flat' loan commonly prices out close to 2x that in true declining-balance terms -- this is exactly why disclosure regulations target flat-rate quoting</t>
  </si>
  <si>
    <t xml:space="preserve">Growth &amp; Loan Officer Productivity</t>
  </si>
  <si>
    <t xml:space="preserve">Active borrowers — prior period</t>
  </si>
  <si>
    <t xml:space="preserve">Active borrowers — current period</t>
  </si>
  <si>
    <t xml:space="preserve">New disbursements this period ($)</t>
  </si>
  <si>
    <t xml:space="preserve">Number of loan officers</t>
  </si>
  <si>
    <t xml:space="preserve">Borrower growth rate (period over period)</t>
  </si>
  <si>
    <t xml:space="preserve">Borrowers per loan officer (caseload)</t>
  </si>
  <si>
    <t xml:space="preserve">Typical sustainable caseload benchmark: 250-400 borrowers/officer, group-lending-dependent</t>
  </si>
  <si>
    <t xml:space="preserve">Disbursement per active borrower ($, avg)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</si>
  <si>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</si>
  <si>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</si>
  <si>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</si>
  <si>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</si>
  <si>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</si>
  <si>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</si>
  <si>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Flat-to-declining approximation: r ~ 2 x n x flat / (n+1)</t>
  </si>
  <si>
    <t xml:space="preserve">CGAP / MFTransparency pricing-transparency training materials</t>
  </si>
  <si>
    <t xml:space="preserve">Standard practice / industry convention</t>
  </si>
  <si>
    <t xml:space="preserve">A closed-form rule of thumb -- the bisection solve on the same sheet gives the exact rate for comparison</t>
  </si>
  <si>
    <t xml:space="preserve">Exact declining-balance rate via 16-step bisection solve</t>
  </si>
  <si>
    <t xml:space="preserve">Standard root-finding on the amortizing-loan installment identity, P*r/(1-(1+r)^-n)=installment</t>
  </si>
  <si>
    <t xml:space="preserve">Derived, not copied from a source</t>
  </si>
  <si>
    <t xml:space="preserve">16 steps on a [flat, 4x flat] bracket -- more than sufficient precision for typical microfinance term lengths</t>
  </si>
  <si>
    <t xml:space="preserve">OSS/FSS sustainability ratios</t>
  </si>
  <si>
    <t xml:space="preserve">Standard MFI financial-performance ratios (SEEP Network / CGAP definitions)</t>
  </si>
  <si>
    <t xml:space="preserve">Standard practice</t>
  </si>
  <si>
    <t xml:space="preserve">FSS's imputed cost-of-capital adjustment requires an external market-rate benchmark, which varies by country/currency</t>
  </si>
  <si>
    <t xml:space="preserve">PAR30/PAR90 and aging-bucket loan-loss provisioning tiers</t>
  </si>
  <si>
    <t xml:space="preserve">Standard microfinance portfolio-quality and reserve-adequacy conventions</t>
  </si>
  <si>
    <t xml:space="preserve">Illustrative reserve rates by aging bucket (1%/10%/50%/100%) -- a real MFI's provisioning policy may differ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</si>
  <si>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</si>
  <si>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</si>
  <si>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</si>
  <si>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</si>
  <si>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</si>
  <si>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Bisection solve converges: |f(mid)| shrinks monotonically over the 16 steps</t>
  </si>
  <si>
    <t xml:space="preserve">TRUE -- the final step's installment gap is smaller in magnitude than the first step's</t>
  </si>
  <si>
    <t xml:space="preserve">Exact declining rate exceeds the quoted flat rate (the whole point of the tab)</t>
  </si>
  <si>
    <t xml:space="preserve">TRUE</t>
  </si>
  <si>
    <t xml:space="preserve">Reserve tiers cross-check ties to GLP (Provisioning vs. Loan Portfolio)</t>
  </si>
  <si>
    <t xml:space="preserve">0 (exact) once both tabs' portfolio figures are populated consistently</t>
  </si>
  <si>
    <t xml:space="preserve">FSS &lt;= OSS always (FSS adds a strictly positive imputed cost-of-capital term to the denominator)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</si>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</sst>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#,##0;\(#,##0\);\-"/>
    <numFmt numFmtId="167" formatCode="0.0%;\(0.0%\);\-"/>
    <numFmt numFmtId="168" formatCode="0.00%;\(0.00%\);\-"/>
    <numFmt numFmtId="169" formatCode="\$#,##0.00;&quot;($&quot;#,##0.00\);\-"/>
    <numFmt numFmtId="170" formatCode="0.00000"/>
    <numFmt numFmtId="171" formatCode="0.00\x"/>
    <numFmt numFmtId="172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2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8</v>
      </c>
    </row>
    <row r="5" customFormat="false" ht="15" hidden="false" customHeight="false" outlineLevel="0" collapsed="false">
      <c r="B5" s="5" t="s">
        <v>9</v>
      </c>
      <c r="C5" s="6" t="n">
        <v>0</v>
      </c>
    </row>
    <row r="6" customFormat="false" ht="15" hidden="false" customHeight="false" outlineLevel="0" collapsed="false">
      <c r="B6" s="5" t="s">
        <v>10</v>
      </c>
      <c r="C6" s="7" t="n">
        <v>0</v>
      </c>
    </row>
    <row r="7" customFormat="false" ht="15" hidden="false" customHeight="false" outlineLevel="0" collapsed="false">
      <c r="B7" s="5" t="s">
        <v>11</v>
      </c>
      <c r="C7" s="6" t="n">
        <v>0</v>
      </c>
    </row>
    <row r="8" customFormat="false" ht="15" hidden="false" customHeight="false" outlineLevel="0" collapsed="false">
      <c r="B8" s="5" t="s">
        <v>12</v>
      </c>
      <c r="C8" s="6" t="n">
        <v>0</v>
      </c>
    </row>
    <row r="9" customFormat="false" ht="15" hidden="false" customHeight="false" outlineLevel="0" collapsed="false">
      <c r="B9" s="5" t="s">
        <v>13</v>
      </c>
      <c r="C9" s="6" t="n">
        <v>0</v>
      </c>
    </row>
    <row r="10" customFormat="false" ht="15" hidden="false" customHeight="false" outlineLevel="0" collapsed="false">
      <c r="B10" s="5" t="s">
        <v>14</v>
      </c>
      <c r="C10" s="6" t="n">
        <v>0</v>
      </c>
    </row>
    <row r="12" customFormat="false" ht="15" hidden="false" customHeight="false" outlineLevel="0" collapsed="false">
      <c r="B12" s="8" t="s">
        <v>15</v>
      </c>
    </row>
    <row r="13" customFormat="false" ht="15" hidden="false" customHeight="false" outlineLevel="0" collapsed="false">
      <c r="B13" s="1" t="s">
        <v>16</v>
      </c>
      <c r="C13" s="9" t="str">
        <f aca="false">IFERROR(C7/C5,"-")</f>
        <v>-</v>
      </c>
    </row>
    <row r="14" customFormat="false" ht="15" hidden="false" customHeight="false" outlineLevel="0" collapsed="false">
      <c r="B14" s="1" t="s">
        <v>17</v>
      </c>
      <c r="C14" s="9" t="str">
        <f aca="false">IFERROR(C8/C5,"-")</f>
        <v>-</v>
      </c>
    </row>
    <row r="15" customFormat="false" ht="15" hidden="false" customHeight="false" outlineLevel="0" collapsed="false">
      <c r="B15" s="1" t="s">
        <v>18</v>
      </c>
      <c r="C15" s="9" t="str">
        <f aca="false">IFERROR(C9/C5,"-")</f>
        <v>-</v>
      </c>
    </row>
    <row r="16" customFormat="false" ht="15" hidden="false" customHeight="false" outlineLevel="0" collapsed="false">
      <c r="B16" s="1" t="s">
        <v>19</v>
      </c>
      <c r="C16" s="10" t="str">
        <f aca="false">IFERROR(C5/C6,"-")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20</v>
      </c>
    </row>
    <row r="4" customFormat="false" ht="15" hidden="false" customHeight="false" outlineLevel="0" collapsed="false">
      <c r="B4" s="8" t="s">
        <v>21</v>
      </c>
    </row>
    <row r="5" customFormat="false" ht="15" hidden="false" customHeight="false" outlineLevel="0" collapsed="false">
      <c r="B5" s="5" t="s">
        <v>22</v>
      </c>
      <c r="C5" s="6" t="n">
        <v>0</v>
      </c>
    </row>
    <row r="6" customFormat="false" ht="15" hidden="false" customHeight="false" outlineLevel="0" collapsed="false">
      <c r="B6" s="5" t="s">
        <v>23</v>
      </c>
      <c r="C6" s="6" t="n">
        <v>0</v>
      </c>
    </row>
    <row r="7" customFormat="false" ht="15" hidden="false" customHeight="false" outlineLevel="0" collapsed="false">
      <c r="B7" s="5" t="s">
        <v>24</v>
      </c>
      <c r="C7" s="6" t="n">
        <v>0</v>
      </c>
    </row>
    <row r="8" customFormat="false" ht="15" hidden="false" customHeight="false" outlineLevel="0" collapsed="false">
      <c r="B8" s="5" t="s">
        <v>25</v>
      </c>
      <c r="C8" s="6" t="n">
        <v>0</v>
      </c>
    </row>
    <row r="9" customFormat="false" ht="15" hidden="false" customHeight="false" outlineLevel="0" collapsed="false">
      <c r="B9" s="5" t="s">
        <v>26</v>
      </c>
      <c r="C9" s="6" t="n">
        <v>0</v>
      </c>
    </row>
    <row r="11" customFormat="false" ht="15" hidden="false" customHeight="false" outlineLevel="0" collapsed="false">
      <c r="B11" s="8" t="s">
        <v>27</v>
      </c>
    </row>
    <row r="12" customFormat="false" ht="15" hidden="false" customHeight="false" outlineLevel="0" collapsed="false">
      <c r="B12" s="1" t="s">
        <v>28</v>
      </c>
      <c r="C12" s="11" t="str">
        <f aca="false">IFERROR(C5/(C6+C7+C8),"-")</f>
        <v>-</v>
      </c>
      <c r="D12" s="12" t="s">
        <v>29</v>
      </c>
    </row>
    <row r="13" customFormat="false" ht="15" hidden="false" customHeight="false" outlineLevel="0" collapsed="false">
      <c r="B13" s="1" t="s">
        <v>30</v>
      </c>
      <c r="C13" s="11" t="str">
        <f aca="false">IFERROR(C5/(C6+C7+C8+C9),"-")</f>
        <v>-</v>
      </c>
      <c r="D13" s="12" t="s">
        <v>31</v>
      </c>
    </row>
    <row r="14" customFormat="false" ht="15" hidden="false" customHeight="false" outlineLevel="0" collapsed="false">
      <c r="B14" s="1" t="s">
        <v>32</v>
      </c>
      <c r="C14" s="9" t="str">
        <f aca="false">IFERROR(C5/'Loan Portfolio'!C5,"-")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40"/>
  </cols>
  <sheetData>
    <row r="2" customFormat="false" ht="19.7" hidden="false" customHeight="false" outlineLevel="0" collapsed="false">
      <c r="B2" s="2" t="s">
        <v>33</v>
      </c>
    </row>
    <row r="4" customFormat="false" ht="15" hidden="false" customHeight="false" outlineLevel="0" collapsed="false">
      <c r="B4" s="13" t="s">
        <v>34</v>
      </c>
      <c r="C4" s="13" t="s">
        <v>35</v>
      </c>
      <c r="D4" s="13" t="s">
        <v>36</v>
      </c>
      <c r="E4" s="13" t="s">
        <v>37</v>
      </c>
    </row>
    <row r="5" customFormat="false" ht="15" hidden="false" customHeight="false" outlineLevel="0" collapsed="false">
      <c r="B5" s="5" t="s">
        <v>38</v>
      </c>
      <c r="C5" s="6" t="n">
        <v>0</v>
      </c>
      <c r="D5" s="14" t="n">
        <v>0.01</v>
      </c>
      <c r="E5" s="10" t="n">
        <f aca="false">C5*D5</f>
        <v>0</v>
      </c>
    </row>
    <row r="6" customFormat="false" ht="15" hidden="false" customHeight="false" outlineLevel="0" collapsed="false">
      <c r="B6" s="5" t="s">
        <v>39</v>
      </c>
      <c r="C6" s="6" t="n">
        <v>0</v>
      </c>
      <c r="D6" s="14" t="n">
        <v>0.1</v>
      </c>
      <c r="E6" s="10" t="n">
        <f aca="false">C6*D6</f>
        <v>0</v>
      </c>
    </row>
    <row r="7" customFormat="false" ht="15" hidden="false" customHeight="false" outlineLevel="0" collapsed="false">
      <c r="B7" s="5" t="s">
        <v>40</v>
      </c>
      <c r="C7" s="6" t="n">
        <v>0</v>
      </c>
      <c r="D7" s="14" t="n">
        <v>0.5</v>
      </c>
      <c r="E7" s="10" t="n">
        <f aca="false">C7*D7</f>
        <v>0</v>
      </c>
    </row>
    <row r="8" customFormat="false" ht="15" hidden="false" customHeight="false" outlineLevel="0" collapsed="false">
      <c r="B8" s="5" t="s">
        <v>41</v>
      </c>
      <c r="C8" s="6" t="n">
        <v>0</v>
      </c>
      <c r="D8" s="14" t="n">
        <v>1</v>
      </c>
      <c r="E8" s="10" t="n">
        <f aca="false">C8*D8</f>
        <v>0</v>
      </c>
    </row>
    <row r="9" customFormat="false" ht="15" hidden="false" customHeight="false" outlineLevel="0" collapsed="false">
      <c r="B9" s="3" t="s">
        <v>42</v>
      </c>
      <c r="C9" s="15" t="n">
        <f aca="false">SUM(C5:C8)</f>
        <v>0</v>
      </c>
    </row>
    <row r="10" customFormat="false" ht="15" hidden="false" customHeight="false" outlineLevel="0" collapsed="false">
      <c r="B10" s="3" t="s">
        <v>43</v>
      </c>
      <c r="E10" s="15" t="n">
        <f aca="false">SUM(E5:E8)</f>
        <v>0</v>
      </c>
    </row>
    <row r="12" customFormat="false" ht="15" hidden="false" customHeight="false" outlineLevel="0" collapsed="false">
      <c r="B12" s="1" t="s">
        <v>44</v>
      </c>
      <c r="C12" s="6" t="n">
        <v>0</v>
      </c>
    </row>
    <row r="13" customFormat="false" ht="15" hidden="false" customHeight="false" outlineLevel="0" collapsed="false">
      <c r="B13" s="1" t="s">
        <v>45</v>
      </c>
      <c r="C13" s="16" t="str">
        <f aca="false">IFERROR(C12/E10,"-")</f>
        <v>-</v>
      </c>
      <c r="D13" s="12" t="s">
        <v>46</v>
      </c>
    </row>
    <row r="14" customFormat="false" ht="15" hidden="false" customHeight="false" outlineLevel="0" collapsed="false">
      <c r="B14" s="1" t="s">
        <v>47</v>
      </c>
      <c r="C14" s="17" t="n">
        <f aca="false">IFERROR(C9-'Loan Portfolio'!C5,"-")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9" min="3" style="1" width="11"/>
  </cols>
  <sheetData>
    <row r="2" customFormat="false" ht="19.7" hidden="false" customHeight="false" outlineLevel="0" collapsed="false">
      <c r="B2" s="2" t="s">
        <v>48</v>
      </c>
    </row>
    <row r="3" customFormat="false" ht="15" hidden="false" customHeight="false" outlineLevel="0" collapsed="false">
      <c r="B3" s="12" t="s">
        <v>49</v>
      </c>
    </row>
    <row r="5" customFormat="false" ht="15" hidden="false" customHeight="false" outlineLevel="0" collapsed="false">
      <c r="B5" s="8" t="s">
        <v>21</v>
      </c>
    </row>
    <row r="6" customFormat="false" ht="15" hidden="false" customHeight="false" outlineLevel="0" collapsed="false">
      <c r="B6" s="1" t="s">
        <v>50</v>
      </c>
      <c r="C6" s="6" t="n">
        <v>1000</v>
      </c>
    </row>
    <row r="7" customFormat="false" ht="15" hidden="false" customHeight="false" outlineLevel="0" collapsed="false">
      <c r="B7" s="1" t="s">
        <v>51</v>
      </c>
      <c r="C7" s="18" t="n">
        <v>0.02</v>
      </c>
    </row>
    <row r="8" customFormat="false" ht="15" hidden="false" customHeight="false" outlineLevel="0" collapsed="false">
      <c r="B8" s="1" t="s">
        <v>52</v>
      </c>
      <c r="C8" s="7" t="n">
        <v>12</v>
      </c>
    </row>
    <row r="10" customFormat="false" ht="15" hidden="false" customHeight="false" outlineLevel="0" collapsed="false">
      <c r="B10" s="8" t="s">
        <v>53</v>
      </c>
    </row>
    <row r="11" customFormat="false" ht="15" hidden="false" customHeight="false" outlineLevel="0" collapsed="false">
      <c r="B11" s="1" t="s">
        <v>54</v>
      </c>
      <c r="C11" s="19" t="n">
        <f aca="false">C6*C7</f>
        <v>20</v>
      </c>
    </row>
    <row r="12" customFormat="false" ht="15" hidden="false" customHeight="false" outlineLevel="0" collapsed="false">
      <c r="B12" s="1" t="s">
        <v>55</v>
      </c>
      <c r="C12" s="10" t="n">
        <f aca="false">C11*C8</f>
        <v>240</v>
      </c>
    </row>
    <row r="13" customFormat="false" ht="15" hidden="false" customHeight="false" outlineLevel="0" collapsed="false">
      <c r="B13" s="1" t="s">
        <v>56</v>
      </c>
      <c r="C13" s="20" t="n">
        <f aca="false">(C6+C12)/C8</f>
        <v>103.333333333333</v>
      </c>
    </row>
    <row r="15" customFormat="false" ht="15" hidden="false" customHeight="false" outlineLevel="0" collapsed="false">
      <c r="B15" s="8" t="s">
        <v>57</v>
      </c>
    </row>
    <row r="16" customFormat="false" ht="15" hidden="false" customHeight="false" outlineLevel="0" collapsed="false">
      <c r="B16" s="1" t="s">
        <v>58</v>
      </c>
      <c r="C16" s="21" t="n">
        <f aca="false">2*C8*C7/(C8+1)</f>
        <v>0.0369230769230769</v>
      </c>
      <c r="D16" s="12" t="s">
        <v>59</v>
      </c>
    </row>
    <row r="18" customFormat="false" ht="15" hidden="false" customHeight="false" outlineLevel="0" collapsed="false">
      <c r="B18" s="8" t="s">
        <v>60</v>
      </c>
    </row>
    <row r="19" customFormat="false" ht="15" hidden="false" customHeight="false" outlineLevel="0" collapsed="false">
      <c r="B19" s="12" t="s">
        <v>61</v>
      </c>
    </row>
    <row r="21" customFormat="false" ht="15" hidden="false" customHeight="false" outlineLevel="0" collapsed="false">
      <c r="C21" s="13" t="s">
        <v>62</v>
      </c>
      <c r="D21" s="13" t="s">
        <v>63</v>
      </c>
      <c r="E21" s="13" t="s">
        <v>64</v>
      </c>
      <c r="F21" s="13" t="s">
        <v>65</v>
      </c>
      <c r="G21" s="13" t="s">
        <v>66</v>
      </c>
      <c r="H21" s="13" t="s">
        <v>67</v>
      </c>
      <c r="I21" s="13" t="s">
        <v>68</v>
      </c>
      <c r="J21" s="13" t="s">
        <v>69</v>
      </c>
      <c r="K21" s="13" t="s">
        <v>70</v>
      </c>
      <c r="L21" s="13" t="s">
        <v>71</v>
      </c>
      <c r="M21" s="13" t="s">
        <v>72</v>
      </c>
      <c r="N21" s="13" t="s">
        <v>73</v>
      </c>
      <c r="O21" s="13" t="s">
        <v>74</v>
      </c>
      <c r="P21" s="13" t="s">
        <v>75</v>
      </c>
      <c r="Q21" s="13" t="s">
        <v>76</v>
      </c>
      <c r="R21" s="13" t="s">
        <v>77</v>
      </c>
    </row>
    <row r="22" customFormat="false" ht="15" hidden="false" customHeight="false" outlineLevel="0" collapsed="false">
      <c r="B22" s="1" t="s">
        <v>78</v>
      </c>
      <c r="C22" s="22" t="n">
        <f aca="false">$C$7</f>
        <v>0.02</v>
      </c>
      <c r="D22" s="22" t="n">
        <f aca="false">IF(C26&lt;0,C24,C22)</f>
        <v>0.02</v>
      </c>
      <c r="E22" s="22" t="n">
        <f aca="false">IF(D26&lt;0,D24,D22)</f>
        <v>0.02</v>
      </c>
      <c r="F22" s="22" t="n">
        <f aca="false">IF(E26&lt;0,E24,E22)</f>
        <v>0.0275</v>
      </c>
      <c r="G22" s="22" t="n">
        <f aca="false">IF(F26&lt;0,F24,F22)</f>
        <v>0.03125</v>
      </c>
      <c r="H22" s="22" t="n">
        <f aca="false">IF(G26&lt;0,G24,G22)</f>
        <v>0.033125</v>
      </c>
      <c r="I22" s="22" t="n">
        <f aca="false">IF(H26&lt;0,H24,H22)</f>
        <v>0.0340625</v>
      </c>
      <c r="J22" s="22" t="n">
        <f aca="false">IF(I26&lt;0,I24,I22)</f>
        <v>0.03453125</v>
      </c>
      <c r="K22" s="22" t="n">
        <f aca="false">IF(J26&lt;0,J24,J22)</f>
        <v>0.03453125</v>
      </c>
      <c r="L22" s="22" t="n">
        <f aca="false">IF(K26&lt;0,K24,K22)</f>
        <v>0.0346484375</v>
      </c>
      <c r="M22" s="22" t="n">
        <f aca="false">IF(L26&lt;0,L24,L22)</f>
        <v>0.03470703125</v>
      </c>
      <c r="N22" s="22" t="n">
        <f aca="false">IF(M26&lt;0,M24,M22)</f>
        <v>0.034736328125</v>
      </c>
      <c r="O22" s="22" t="n">
        <f aca="false">IF(N26&lt;0,N24,N22)</f>
        <v>0.0347509765625</v>
      </c>
      <c r="P22" s="22" t="n">
        <f aca="false">IF(O26&lt;0,O24,O22)</f>
        <v>0.0347509765625</v>
      </c>
      <c r="Q22" s="22" t="n">
        <f aca="false">IF(P26&lt;0,P24,P22)</f>
        <v>0.0347509765625</v>
      </c>
      <c r="R22" s="22" t="n">
        <f aca="false">IF(Q26&lt;0,Q24,Q22)</f>
        <v>0.0347509765625</v>
      </c>
    </row>
    <row r="23" customFormat="false" ht="15" hidden="false" customHeight="false" outlineLevel="0" collapsed="false">
      <c r="B23" s="1" t="s">
        <v>79</v>
      </c>
      <c r="C23" s="22" t="n">
        <f aca="false">$C$7*4</f>
        <v>0.08</v>
      </c>
      <c r="D23" s="22" t="n">
        <f aca="false">IF(C26&lt;0,C23,C24)</f>
        <v>0.05</v>
      </c>
      <c r="E23" s="22" t="n">
        <f aca="false">IF(D26&lt;0,D23,D24)</f>
        <v>0.035</v>
      </c>
      <c r="F23" s="22" t="n">
        <f aca="false">IF(E26&lt;0,E23,E24)</f>
        <v>0.035</v>
      </c>
      <c r="G23" s="22" t="n">
        <f aca="false">IF(F26&lt;0,F23,F24)</f>
        <v>0.035</v>
      </c>
      <c r="H23" s="22" t="n">
        <f aca="false">IF(G26&lt;0,G23,G24)</f>
        <v>0.035</v>
      </c>
      <c r="I23" s="22" t="n">
        <f aca="false">IF(H26&lt;0,H23,H24)</f>
        <v>0.035</v>
      </c>
      <c r="J23" s="22" t="n">
        <f aca="false">IF(I26&lt;0,I23,I24)</f>
        <v>0.035</v>
      </c>
      <c r="K23" s="22" t="n">
        <f aca="false">IF(J26&lt;0,J23,J24)</f>
        <v>0.034765625</v>
      </c>
      <c r="L23" s="22" t="n">
        <f aca="false">IF(K26&lt;0,K23,K24)</f>
        <v>0.034765625</v>
      </c>
      <c r="M23" s="22" t="n">
        <f aca="false">IF(L26&lt;0,L23,L24)</f>
        <v>0.034765625</v>
      </c>
      <c r="N23" s="22" t="n">
        <f aca="false">IF(M26&lt;0,M23,M24)</f>
        <v>0.034765625</v>
      </c>
      <c r="O23" s="22" t="n">
        <f aca="false">IF(N26&lt;0,N23,N24)</f>
        <v>0.034765625</v>
      </c>
      <c r="P23" s="22" t="n">
        <f aca="false">IF(O26&lt;0,O23,O24)</f>
        <v>0.03475830078125</v>
      </c>
      <c r="Q23" s="22" t="n">
        <f aca="false">IF(P26&lt;0,P23,P24)</f>
        <v>0.034754638671875</v>
      </c>
      <c r="R23" s="22" t="n">
        <f aca="false">IF(Q26&lt;0,Q23,Q24)</f>
        <v>0.0347528076171875</v>
      </c>
    </row>
    <row r="24" customFormat="false" ht="15" hidden="false" customHeight="false" outlineLevel="0" collapsed="false">
      <c r="B24" s="1" t="s">
        <v>80</v>
      </c>
      <c r="C24" s="22" t="n">
        <f aca="false">(C22+C23)/2</f>
        <v>0.05</v>
      </c>
      <c r="D24" s="22" t="n">
        <f aca="false">(D22+D23)/2</f>
        <v>0.035</v>
      </c>
      <c r="E24" s="22" t="n">
        <f aca="false">(E22+E23)/2</f>
        <v>0.0275</v>
      </c>
      <c r="F24" s="22" t="n">
        <f aca="false">(F22+F23)/2</f>
        <v>0.03125</v>
      </c>
      <c r="G24" s="22" t="n">
        <f aca="false">(G22+G23)/2</f>
        <v>0.033125</v>
      </c>
      <c r="H24" s="22" t="n">
        <f aca="false">(H22+H23)/2</f>
        <v>0.0340625</v>
      </c>
      <c r="I24" s="22" t="n">
        <f aca="false">(I22+I23)/2</f>
        <v>0.03453125</v>
      </c>
      <c r="J24" s="22" t="n">
        <f aca="false">(J22+J23)/2</f>
        <v>0.034765625</v>
      </c>
      <c r="K24" s="22" t="n">
        <f aca="false">(K22+K23)/2</f>
        <v>0.0346484375</v>
      </c>
      <c r="L24" s="22" t="n">
        <f aca="false">(L22+L23)/2</f>
        <v>0.03470703125</v>
      </c>
      <c r="M24" s="22" t="n">
        <f aca="false">(M22+M23)/2</f>
        <v>0.034736328125</v>
      </c>
      <c r="N24" s="22" t="n">
        <f aca="false">(N22+N23)/2</f>
        <v>0.0347509765625</v>
      </c>
      <c r="O24" s="22" t="n">
        <f aca="false">(O22+O23)/2</f>
        <v>0.03475830078125</v>
      </c>
      <c r="P24" s="22" t="n">
        <f aca="false">(P22+P23)/2</f>
        <v>0.034754638671875</v>
      </c>
      <c r="Q24" s="22" t="n">
        <f aca="false">(Q22+Q23)/2</f>
        <v>0.0347528076171875</v>
      </c>
      <c r="R24" s="22" t="n">
        <f aca="false">(R22+R23)/2</f>
        <v>0.0347518920898438</v>
      </c>
    </row>
    <row r="25" customFormat="false" ht="15" hidden="false" customHeight="false" outlineLevel="0" collapsed="false">
      <c r="B25" s="1" t="s">
        <v>81</v>
      </c>
      <c r="C25" s="19" t="n">
        <f aca="false">IFERROR($C$6*C24/(1-(1+C24)^-$C$8),"-")</f>
        <v>112.825410020815</v>
      </c>
      <c r="D25" s="19" t="n">
        <f aca="false">IFERROR($C$6*D24/(1-(1+D24)^-$C$8),"-")</f>
        <v>103.483949263748</v>
      </c>
      <c r="E25" s="19" t="n">
        <f aca="false">IFERROR($C$6*E24/(1-(1+E24)^-$C$8),"-")</f>
        <v>98.9687098390137</v>
      </c>
      <c r="F25" s="19" t="n">
        <f aca="false">IFERROR($C$6*F24/(1-(1+F24)^-$C$8),"-")</f>
        <v>101.213174983912</v>
      </c>
      <c r="G25" s="19" t="n">
        <f aca="false">IFERROR($C$6*G24/(1-(1+G24)^-$C$8),"-")</f>
        <v>102.345287781725</v>
      </c>
      <c r="H25" s="19" t="n">
        <f aca="false">IFERROR($C$6*H24/(1-(1+H24)^-$C$8),"-")</f>
        <v>102.913801748729</v>
      </c>
      <c r="I25" s="19" t="n">
        <f aca="false">IFERROR($C$6*I24/(1-(1+I24)^-$C$8),"-")</f>
        <v>103.198671540653</v>
      </c>
      <c r="J25" s="19" t="n">
        <f aca="false">IFERROR($C$6*J24/(1-(1+J24)^-$C$8),"-")</f>
        <v>103.341259439385</v>
      </c>
      <c r="K25" s="19" t="n">
        <f aca="false">IFERROR($C$6*K24/(1-(1+K24)^-$C$8),"-")</f>
        <v>103.269952745738</v>
      </c>
      <c r="L25" s="19" t="n">
        <f aca="false">IFERROR($C$6*L24/(1-(1+L24)^-$C$8),"-")</f>
        <v>103.305602906938</v>
      </c>
      <c r="M25" s="19" t="n">
        <f aca="false">IFERROR($C$6*M24/(1-(1+M24)^-$C$8),"-")</f>
        <v>103.323430376811</v>
      </c>
      <c r="N25" s="19" t="n">
        <f aca="false">IFERROR($C$6*N24/(1-(1+N24)^-$C$8),"-")</f>
        <v>103.332344709017</v>
      </c>
      <c r="O25" s="19" t="n">
        <f aca="false">IFERROR($C$6*O24/(1-(1+O24)^-$C$8),"-")</f>
        <v>103.336802024432</v>
      </c>
      <c r="P25" s="19" t="n">
        <f aca="false">IFERROR($C$6*P24/(1-(1+P24)^-$C$8),"-")</f>
        <v>103.334573354282</v>
      </c>
      <c r="Q25" s="19" t="n">
        <f aca="false">IFERROR($C$6*Q24/(1-(1+Q24)^-$C$8),"-")</f>
        <v>103.333459028539</v>
      </c>
      <c r="R25" s="19" t="n">
        <f aca="false">IFERROR($C$6*R24/(1-(1+R24)^-$C$8),"-")</f>
        <v>103.332901868001</v>
      </c>
    </row>
    <row r="26" customFormat="false" ht="15" hidden="false" customHeight="false" outlineLevel="0" collapsed="false">
      <c r="B26" s="1" t="s">
        <v>82</v>
      </c>
      <c r="C26" s="19" t="n">
        <f aca="false">IFERROR(C25-$C$13,"-")</f>
        <v>9.49207668748201</v>
      </c>
      <c r="D26" s="19" t="n">
        <f aca="false">IFERROR(D25-$C$13,"-")</f>
        <v>0.150615930414801</v>
      </c>
      <c r="E26" s="19" t="n">
        <f aca="false">IFERROR(E25-$C$13,"-")</f>
        <v>-4.36462349431959</v>
      </c>
      <c r="F26" s="19" t="n">
        <f aca="false">IFERROR(F25-$C$13,"-")</f>
        <v>-2.12015834942112</v>
      </c>
      <c r="G26" s="19" t="n">
        <f aca="false">IFERROR(G25-$C$13,"-")</f>
        <v>-0.98804555160784</v>
      </c>
      <c r="H26" s="19" t="n">
        <f aca="false">IFERROR(H25-$C$13,"-")</f>
        <v>-0.41953158460413</v>
      </c>
      <c r="I26" s="19" t="n">
        <f aca="false">IFERROR(I25-$C$13,"-")</f>
        <v>-0.134661792680618</v>
      </c>
      <c r="J26" s="19" t="n">
        <f aca="false">IFERROR(J25-$C$13,"-")</f>
        <v>0.00792610605134314</v>
      </c>
      <c r="K26" s="19" t="n">
        <f aca="false">IFERROR(K25-$C$13,"-")</f>
        <v>-0.0633805875954749</v>
      </c>
      <c r="L26" s="19" t="n">
        <f aca="false">IFERROR(L25-$C$13,"-")</f>
        <v>-0.0277304263953795</v>
      </c>
      <c r="M26" s="19" t="n">
        <f aca="false">IFERROR(M25-$C$13,"-")</f>
        <v>-0.00990295652194106</v>
      </c>
      <c r="N26" s="19" t="n">
        <f aca="false">IFERROR(N25-$C$13,"-")</f>
        <v>-0.000988624316036635</v>
      </c>
      <c r="O26" s="19" t="n">
        <f aca="false">IFERROR(O25-$C$13,"-")</f>
        <v>0.00346869109839076</v>
      </c>
      <c r="P26" s="19" t="n">
        <f aca="false">IFERROR(P25-$C$13,"-")</f>
        <v>0.00124002094901243</v>
      </c>
      <c r="Q26" s="19" t="n">
        <f aca="false">IFERROR(Q25-$C$13,"-")</f>
        <v>0.000125695205866805</v>
      </c>
      <c r="R26" s="19" t="n">
        <f aca="false">IFERROR(R25-$C$13,"-")</f>
        <v>-0.000431465332752623</v>
      </c>
    </row>
    <row r="28" customFormat="false" ht="15" hidden="false" customHeight="false" outlineLevel="0" collapsed="false">
      <c r="B28" s="1" t="s">
        <v>83</v>
      </c>
      <c r="C28" s="21" t="n">
        <f aca="false">R24</f>
        <v>0.0347518920898438</v>
      </c>
    </row>
    <row r="29" customFormat="false" ht="15" hidden="false" customHeight="false" outlineLevel="0" collapsed="false">
      <c r="B29" s="1" t="s">
        <v>84</v>
      </c>
      <c r="C29" s="9" t="n">
        <f aca="false">IFERROR((1+C28)^12-1,"-")</f>
        <v>0.50672762332106</v>
      </c>
      <c r="D29" s="12" t="s">
        <v>85</v>
      </c>
    </row>
    <row r="30" customFormat="false" ht="15" hidden="false" customHeight="false" outlineLevel="0" collapsed="false">
      <c r="B30" s="1" t="s">
        <v>86</v>
      </c>
      <c r="C30" s="23" t="n">
        <f aca="false">IFERROR(C16-C28,"-")</f>
        <v>0.00217118483323316</v>
      </c>
    </row>
    <row r="31" customFormat="false" ht="15" hidden="false" customHeight="false" outlineLevel="0" collapsed="false">
      <c r="B31" s="1" t="s">
        <v>87</v>
      </c>
      <c r="C31" s="24" t="n">
        <f aca="false">IFERROR(C28/C7,"-")</f>
        <v>1.73759460449219</v>
      </c>
      <c r="D31" s="1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89</v>
      </c>
    </row>
    <row r="4" customFormat="false" ht="15" hidden="false" customHeight="false" outlineLevel="0" collapsed="false">
      <c r="B4" s="8" t="s">
        <v>21</v>
      </c>
    </row>
    <row r="5" customFormat="false" ht="15" hidden="false" customHeight="false" outlineLevel="0" collapsed="false">
      <c r="B5" s="5" t="s">
        <v>90</v>
      </c>
      <c r="C5" s="7" t="n">
        <v>0</v>
      </c>
    </row>
    <row r="6" customFormat="false" ht="15" hidden="false" customHeight="false" outlineLevel="0" collapsed="false">
      <c r="B6" s="5" t="s">
        <v>91</v>
      </c>
      <c r="C6" s="7" t="n">
        <v>0</v>
      </c>
    </row>
    <row r="7" customFormat="false" ht="15" hidden="false" customHeight="false" outlineLevel="0" collapsed="false">
      <c r="B7" s="5" t="s">
        <v>92</v>
      </c>
      <c r="C7" s="6" t="n">
        <v>0</v>
      </c>
    </row>
    <row r="8" customFormat="false" ht="15" hidden="false" customHeight="false" outlineLevel="0" collapsed="false">
      <c r="B8" s="5" t="s">
        <v>93</v>
      </c>
      <c r="C8" s="7" t="n">
        <v>0</v>
      </c>
    </row>
    <row r="10" customFormat="false" ht="15" hidden="false" customHeight="false" outlineLevel="0" collapsed="false">
      <c r="B10" s="8" t="s">
        <v>27</v>
      </c>
    </row>
    <row r="11" customFormat="false" ht="15" hidden="false" customHeight="false" outlineLevel="0" collapsed="false">
      <c r="B11" s="1" t="s">
        <v>94</v>
      </c>
      <c r="C11" s="9" t="str">
        <f aca="false">IFERROR((C6-C5)/C5,"-")</f>
        <v>-</v>
      </c>
    </row>
    <row r="12" customFormat="false" ht="15" hidden="false" customHeight="false" outlineLevel="0" collapsed="false">
      <c r="B12" s="1" t="s">
        <v>95</v>
      </c>
      <c r="C12" s="25" t="str">
        <f aca="false">IFERROR(C6/C8,"-")</f>
        <v>-</v>
      </c>
      <c r="D12" s="12" t="s">
        <v>96</v>
      </c>
    </row>
    <row r="13" customFormat="false" ht="15" hidden="false" customHeight="false" outlineLevel="0" collapsed="false">
      <c r="B13" s="1" t="s">
        <v>97</v>
      </c>
      <c r="C13" s="10" t="str">
        <f aca="false">IFERROR(C7/C6,"-")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98</v>
      </c>
    </row>
    <row r="3" customFormat="false" ht="15" hidden="false" customHeight="false" outlineLevel="0" collapsed="false">
      <c r="B3" s="12" t="s">
        <v>99</v>
      </c>
    </row>
    <row r="5" customFormat="false" ht="15" hidden="false" customHeight="false" outlineLevel="0" collapsed="false">
      <c r="B5" s="13" t="s">
        <v>100</v>
      </c>
      <c r="C5" s="13" t="s">
        <v>101</v>
      </c>
      <c r="D5" s="13" t="s">
        <v>102</v>
      </c>
      <c r="E5" s="13" t="s">
        <v>103</v>
      </c>
    </row>
    <row r="6" customFormat="false" ht="15" hidden="false" customHeight="false" outlineLevel="0" collapsed="false">
      <c r="B6" s="26" t="s">
        <v>104</v>
      </c>
      <c r="C6" s="26" t="s">
        <v>105</v>
      </c>
      <c r="D6" s="26" t="s">
        <v>106</v>
      </c>
      <c r="E6" s="27" t="s">
        <v>107</v>
      </c>
    </row>
    <row r="7" customFormat="false" ht="15" hidden="false" customHeight="false" outlineLevel="0" collapsed="false">
      <c r="B7" s="26" t="s">
        <v>108</v>
      </c>
      <c r="C7" s="26" t="s">
        <v>109</v>
      </c>
      <c r="D7" s="26" t="s">
        <v>110</v>
      </c>
      <c r="E7" s="27" t="s">
        <v>111</v>
      </c>
    </row>
    <row r="8" customFormat="false" ht="15" hidden="false" customHeight="false" outlineLevel="0" collapsed="false">
      <c r="B8" s="26" t="s">
        <v>112</v>
      </c>
      <c r="C8" s="26" t="s">
        <v>113</v>
      </c>
      <c r="D8" s="26" t="s">
        <v>114</v>
      </c>
      <c r="E8" s="27" t="s">
        <v>115</v>
      </c>
    </row>
    <row r="9" customFormat="false" ht="15" hidden="false" customHeight="false" outlineLevel="0" collapsed="false">
      <c r="B9" s="26" t="s">
        <v>116</v>
      </c>
      <c r="C9" s="26" t="s">
        <v>117</v>
      </c>
      <c r="D9" s="26" t="s">
        <v>114</v>
      </c>
      <c r="E9" s="27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119</v>
      </c>
    </row>
    <row r="3" customFormat="false" ht="15" hidden="false" customHeight="false" outlineLevel="0" collapsed="false">
      <c r="B3" s="12" t="s">
        <v>120</v>
      </c>
    </row>
    <row r="5" customFormat="false" ht="15" hidden="false" customHeight="false" outlineLevel="0" collapsed="false">
      <c r="B5" s="13" t="s">
        <v>121</v>
      </c>
      <c r="C5" s="13" t="s">
        <v>122</v>
      </c>
      <c r="D5" s="13" t="s">
        <v>123</v>
      </c>
    </row>
    <row r="6" customFormat="false" ht="15" hidden="false" customHeight="false" outlineLevel="0" collapsed="false">
      <c r="B6" s="26" t="s">
        <v>124</v>
      </c>
      <c r="C6" s="28" t="b">
        <f aca="false">IF(ABS('Flat vs Declining Rate'!R26)&lt;=ABS('Flat vs Declining Rate'!C26),TRUE(),FALSE())</f>
        <v>1</v>
      </c>
      <c r="D6" s="27" t="s">
        <v>125</v>
      </c>
    </row>
    <row r="7" customFormat="false" ht="15" hidden="false" customHeight="false" outlineLevel="0" collapsed="false">
      <c r="B7" s="26" t="s">
        <v>126</v>
      </c>
      <c r="C7" s="28" t="b">
        <f aca="false">IF('Flat vs Declining Rate'!C28&gt;'Flat vs Declining Rate'!C7,TRUE(),FALSE())</f>
        <v>1</v>
      </c>
      <c r="D7" s="27" t="s">
        <v>127</v>
      </c>
    </row>
    <row r="8" customFormat="false" ht="15" hidden="false" customHeight="false" outlineLevel="0" collapsed="false">
      <c r="B8" s="26" t="s">
        <v>128</v>
      </c>
      <c r="C8" s="15" t="n">
        <f aca="false">Provisioning!C14</f>
        <v>0</v>
      </c>
      <c r="D8" s="27" t="s">
        <v>129</v>
      </c>
    </row>
    <row r="9" customFormat="false" ht="15" hidden="false" customHeight="false" outlineLevel="0" collapsed="false">
      <c r="B9" s="26" t="s">
        <v>130</v>
      </c>
      <c r="C9" s="28" t="b">
        <f aca="false">IF(OR(Sustainability!C12="-",Sustainability!C13="-"),TRUE(),Sustainability!C12&gt;=Sustainability!C13)</f>
        <v>1</v>
      </c>
      <c r="D9" s="27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131</v>
      </c>
    </row>
    <row r="4" customFormat="false" ht="15" hidden="false" customHeight="false" outlineLevel="0" collapsed="false">
      <c r="B4" s="13" t="s">
        <v>132</v>
      </c>
      <c r="C4" s="13" t="s">
        <v>133</v>
      </c>
      <c r="D4" s="13" t="s">
        <v>134</v>
      </c>
      <c r="E4" s="13" t="s">
        <v>135</v>
      </c>
      <c r="F4" s="13" t="s">
        <v>136</v>
      </c>
    </row>
    <row r="5" customFormat="false" ht="15" hidden="false" customHeight="false" outlineLevel="0" collapsed="false">
      <c r="B5" s="29"/>
      <c r="C5" s="29"/>
      <c r="D5" s="29"/>
      <c r="E5" s="29"/>
      <c r="F5" s="29"/>
    </row>
    <row r="6" customFormat="false" ht="15" hidden="false" customHeight="false" outlineLevel="0" collapsed="false">
      <c r="B6" s="29"/>
      <c r="C6" s="29"/>
      <c r="D6" s="29"/>
      <c r="E6" s="29"/>
      <c r="F6" s="29"/>
    </row>
    <row r="7" customFormat="false" ht="15" hidden="false" customHeight="false" outlineLevel="0" collapsed="false">
      <c r="B7" s="29"/>
      <c r="C7" s="29"/>
      <c r="D7" s="29"/>
      <c r="E7" s="29"/>
      <c r="F7" s="29"/>
    </row>
    <row r="8" customFormat="false" ht="15" hidden="false" customHeight="false" outlineLevel="0" collapsed="false">
      <c r="B8" s="29"/>
      <c r="C8" s="29"/>
      <c r="D8" s="29"/>
      <c r="E8" s="29"/>
      <c r="F8" s="29"/>
    </row>
    <row r="9" customFormat="false" ht="15" hidden="false" customHeight="false" outlineLevel="0" collapsed="false">
      <c r="B9" s="29"/>
      <c r="C9" s="29"/>
      <c r="D9" s="29"/>
      <c r="E9" s="29"/>
      <c r="F9" s="29"/>
    </row>
    <row r="10" customFormat="false" ht="15" hidden="false" customHeight="false" outlineLevel="0" collapsed="false">
      <c r="B10" s="29"/>
      <c r="C10" s="29"/>
      <c r="D10" s="29"/>
      <c r="E10" s="29"/>
      <c r="F10" s="29"/>
    </row>
    <row r="11" customFormat="false" ht="15" hidden="false" customHeight="false" outlineLevel="0" collapsed="false">
      <c r="B11" s="29"/>
      <c r="C11" s="29"/>
      <c r="D11" s="29"/>
      <c r="E11" s="29"/>
      <c r="F11" s="29"/>
    </row>
    <row r="12" customFormat="false" ht="15" hidden="false" customHeight="false" outlineLevel="0" collapsed="false">
      <c r="B12" s="29"/>
      <c r="C12" s="29"/>
      <c r="D12" s="29"/>
      <c r="E12" s="29"/>
      <c r="F12" s="29"/>
    </row>
    <row r="13" customFormat="false" ht="15" hidden="false" customHeight="false" outlineLevel="0" collapsed="false">
      <c r="B13" s="29"/>
      <c r="C13" s="29"/>
      <c r="D13" s="29"/>
      <c r="E13" s="29"/>
      <c r="F13" s="29"/>
    </row>
    <row r="14" customFormat="false" ht="15" hidden="false" customHeight="false" outlineLevel="0" collapsed="false">
      <c r="B14" s="29"/>
      <c r="C14" s="29"/>
      <c r="D14" s="29"/>
      <c r="E14" s="29"/>
      <c r="F14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2026-08-04T14:16:07Z</dcterms:created>
  <dc:creator>openpyxl</dc:creator>
  <dc:description/>
  <dc:language>en-US</dc:language>
  <cp:lastModifiedBy/>
  <dcterms:modified xsi:type="dcterms:W3CDTF">2026-08-04T14:16:07Z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