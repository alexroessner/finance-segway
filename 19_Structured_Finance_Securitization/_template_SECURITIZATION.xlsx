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ollateral Pool" sheetId="2" state="visible" r:id="rId4"/>
    <sheet name="Waterfall" sheetId="3" state="visible" r:id="rId5"/>
    <sheet name="Tranche Cash Flow Waterfall" sheetId="4" state="visible" r:id="rId6"/>
    <sheet name="Refresh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<sst xmlns="http://schemas.openxmlformats.org/spreadsheetml/2006/main" count="106" uniqueCount="79">
  <si>
    <t xml:space="preserve">[DEAL] — Structured Finance / Securitization Model</t>
  </si>
  <si>
    <t xml:space="preserve">Asset class:</t>
  </si>
  <si>
    <t xml:space="preserve">RMBS / ABS / CLO</t>
  </si>
  <si>
    <t xml:space="preserve">Closing date:</t>
  </si>
  <si>
    <t xml:space="preserve">[date]</t>
  </si>
  <si>
    <t xml:space="preserve">Last refreshed:</t>
  </si>
  <si>
    <t xml:space="preserve">Refresh cadence:</t>
  </si>
  <si>
    <t xml:space="preserve">Weekly (monthly at distribution date)</t>
  </si>
  <si>
    <t xml:space="preserve">Collateral Pool Summary</t>
  </si>
  <si>
    <t xml:space="preserve">Aggregate pool balance ($)</t>
  </si>
  <si>
    <t xml:space="preserve">Weighted avg coupon (WAC, %)</t>
  </si>
  <si>
    <t xml:space="preserve">Weighted avg maturity (WAM, months)</t>
  </si>
  <si>
    <t xml:space="preserve">Conditional prepayment rate assumption (CPR, %)</t>
  </si>
  <si>
    <t xml:space="preserve">Conditional default rate assumption (CDR, annual %)</t>
  </si>
  <si>
    <t xml:space="preserve">Recovery rate on defaults (%)</t>
  </si>
  <si>
    <t xml:space="preserve">Recovery lag (months from default to cash)</t>
  </si>
  <si>
    <t xml:space="preserve">Single Monthly Mortality (SMM) from CPR</t>
  </si>
  <si>
    <t xml:space="preserve">SMM = 1-(1-CPR)^(1/12) — standard CPR-to-SMM conversion</t>
  </si>
  <si>
    <t xml:space="preserve">Monthly Default Rate (MDR) from CDR</t>
  </si>
  <si>
    <t xml:space="preserve">MDR = 1-(1-CDR)^(1/12) — same conditional-rate-to-monthly conversion as SMM, applied to defaults instead of prepayments</t>
  </si>
  <si>
    <t xml:space="preserve">Scheduled monthly P&amp;I payment (level-pay amortization)</t>
  </si>
  <si>
    <t xml:space="preserve">Standard mortgage-style level payment: Balance x (WAC/12) / (1-(1+WAC/12)^-WAM). Constant $ payment; the interest/principal split shifts over time as the balance amortizes.</t>
  </si>
  <si>
    <t xml:space="preserve">Tranche Structure &amp; Credit Enhancement</t>
  </si>
  <si>
    <t xml:space="preserve">Tranche</t>
  </si>
  <si>
    <t xml:space="preserve">Face ($)</t>
  </si>
  <si>
    <t xml:space="preserve">% of pool</t>
  </si>
  <si>
    <t xml:space="preserve">Coupon</t>
  </si>
  <si>
    <t xml:space="preserve">Credit enhancement %</t>
  </si>
  <si>
    <t xml:space="preserve">Notes</t>
  </si>
  <si>
    <t xml:space="preserve">Class A (senior)</t>
  </si>
  <si>
    <t xml:space="preserve">Class B (mezz)</t>
  </si>
  <si>
    <t xml:space="preserve">Class C (mezz)</t>
  </si>
  <si>
    <t xml:space="preserve">Class D (subordinate)</t>
  </si>
  <si>
    <t xml:space="preserve">Equity / residual</t>
  </si>
  <si>
    <t xml:space="preserve">Total</t>
  </si>
  <si>
    <t xml:space="preserve">CE% for a tranche = subordinate tranche cushion that absorbs losses before it does</t>
  </si>
  <si>
    <t xml:space="preserve">12-Month Tranche Cash Flow Waterfall</t>
  </si>
  <si>
    <t xml:space="preserve">Pool Cash Flow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</si>
  <si>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</si>
  <si>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</si>
  <si>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</si>
  <si>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</si>
  <si>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</si>
  <si>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</si>
  <si>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</si>
  <si>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</si>
  <si>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</si>
  <si>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</si>
  <si>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</si>
  <si>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</si>
  <si>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Beginning balance</t>
  </si>
  <si>
    <t xml:space="preserve">Scheduled interest (WAC/12 x beg.)</t>
  </si>
  <si>
    <t xml:space="preserve">Scheduled principal (level-pay P&amp;I - interest)</t>
  </si>
  <si>
    <t xml:space="preserve">Defaults (MDR x beg.)</t>
  </si>
  <si>
    <t xml:space="preserve">Prepayments (SMM x remaining)</t>
  </si>
  <si>
    <t xml:space="preserve">Recovery proceeds (lagged, net of severity)</t>
  </si>
  <si>
    <t xml:space="preserve">Realized loss (defaults x (1 - recovery rate))</t>
  </si>
  <si>
    <t xml:space="preserve">Ending balance</t>
  </si>
  <si>
    <t xml:space="preserve">Principal available for tranches</t>
  </si>
  <si>
    <t xml:space="preserve">Loss to allocate to tranches</t>
  </si>
  <si>
    <t xml:space="preserve">Recovery lag fixed at 3 months to match Collateral Pool's default assumption — if you change that input, update RECOVERY_LAG_MONTHS in the builder and regenerate, since the lag is baked into which column each recovery formula references, not read dynamically.</t>
  </si>
  <si>
    <t xml:space="preserve">  Beginning balance</t>
  </si>
  <si>
    <t xml:space="preserve">  Principal received</t>
  </si>
  <si>
    <t xml:space="preserve">  Loss allocated</t>
  </si>
  <si>
    <t xml:space="preserve">  Ending balance</t>
  </si>
  <si>
    <t xml:space="preserve">Per-Tranche WAL (this 12-month window only)</t>
  </si>
  <si>
    <t xml:space="preserve">Truncated to this 12-month window, not the full deal life — senior tranches whose principal keeps flowing past month 12 will show an understated WAL here. Extend the schedule to the deal's actual WAM for a real disclosure number.</t>
  </si>
  <si>
    <t xml:space="preserve">Reconciliation: Pool vs. Tranches</t>
  </si>
  <si>
    <t xml:space="preserve">Pool ending balance (month 12)</t>
  </si>
  <si>
    <t xml:space="preserve">Sum of tranche ending balances (month 12)</t>
  </si>
  <si>
    <t xml:space="preserve">Difference (pool - tranches)</t>
  </si>
  <si>
    <t xml:space="preserve">Expected difference: -(recovery rate x defaults from the last 3 months, not yet recovered in-window)</t>
  </si>
  <si>
    <t xml:space="preserve">Check (actual difference - expected difference, should be ~0)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</si>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</sst>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0.00%;\(0.00%\);\-"/>
    <numFmt numFmtId="169" formatCode="\$#,##0.00;&quot;($&quot;#,##0.00\);\-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4</v>
      </c>
    </row>
    <row r="7" customFormat="false" ht="15" hidden="false" customHeight="false" outlineLevel="0" collapsed="false">
      <c r="B7" s="3" t="s">
        <v>6</v>
      </c>
      <c r="C7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8</v>
      </c>
    </row>
    <row r="5" customFormat="false" ht="15" hidden="false" customHeight="false" outlineLevel="0" collapsed="false">
      <c r="B5" s="5" t="s">
        <v>9</v>
      </c>
      <c r="C5" s="6" t="n">
        <v>0</v>
      </c>
    </row>
    <row r="6" customFormat="false" ht="15" hidden="false" customHeight="false" outlineLevel="0" collapsed="false">
      <c r="B6" s="5" t="s">
        <v>10</v>
      </c>
      <c r="C6" s="7" t="n">
        <v>0.06</v>
      </c>
    </row>
    <row r="7" customFormat="false" ht="15" hidden="false" customHeight="false" outlineLevel="0" collapsed="false">
      <c r="B7" s="5" t="s">
        <v>11</v>
      </c>
      <c r="C7" s="8" t="n">
        <v>360</v>
      </c>
    </row>
    <row r="8" customFormat="false" ht="15" hidden="false" customHeight="false" outlineLevel="0" collapsed="false">
      <c r="B8" s="5" t="s">
        <v>12</v>
      </c>
      <c r="C8" s="7" t="n">
        <v>0.08</v>
      </c>
    </row>
    <row r="9" customFormat="false" ht="15" hidden="false" customHeight="false" outlineLevel="0" collapsed="false">
      <c r="B9" s="5" t="s">
        <v>13</v>
      </c>
      <c r="C9" s="7" t="n">
        <v>0.03</v>
      </c>
    </row>
    <row r="10" customFormat="false" ht="15" hidden="false" customHeight="false" outlineLevel="0" collapsed="false">
      <c r="B10" s="5" t="s">
        <v>14</v>
      </c>
      <c r="C10" s="7" t="n">
        <v>0.5</v>
      </c>
    </row>
    <row r="11" customFormat="false" ht="15" hidden="false" customHeight="false" outlineLevel="0" collapsed="false">
      <c r="B11" s="5" t="s">
        <v>15</v>
      </c>
      <c r="C11" s="8" t="n">
        <v>3</v>
      </c>
    </row>
    <row r="13" customFormat="false" ht="15" hidden="false" customHeight="false" outlineLevel="0" collapsed="false">
      <c r="B13" s="1" t="s">
        <v>16</v>
      </c>
      <c r="C13" s="9" t="n">
        <f aca="false">1-(1-C8)^(1/12)</f>
        <v>0.00692438262829942</v>
      </c>
      <c r="D13" s="10" t="s">
        <v>17</v>
      </c>
    </row>
    <row r="14" customFormat="false" ht="15" hidden="false" customHeight="false" outlineLevel="0" collapsed="false">
      <c r="B14" s="1" t="s">
        <v>18</v>
      </c>
      <c r="C14" s="9" t="n">
        <f aca="false">1-(1-C9)^(1/12)</f>
        <v>0.00253504861383669</v>
      </c>
      <c r="D14" s="10" t="s">
        <v>19</v>
      </c>
    </row>
    <row r="15" customFormat="false" ht="15" hidden="false" customHeight="false" outlineLevel="0" collapsed="false">
      <c r="B15" s="1" t="s">
        <v>20</v>
      </c>
      <c r="C15" s="11" t="n">
        <f aca="false">IFERROR(C5*(C6/12)/(1-(1+C6/12)^(-C7)),"-")</f>
        <v>0</v>
      </c>
      <c r="D15" s="10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16"/>
    <col collapsed="false" customWidth="true" hidden="false" outlineLevel="0" max="7" min="7" style="1" width="40"/>
  </cols>
  <sheetData>
    <row r="2" customFormat="false" ht="19.7" hidden="false" customHeight="false" outlineLevel="0" collapsed="false">
      <c r="B2" s="2" t="s">
        <v>22</v>
      </c>
    </row>
    <row r="4" customFormat="false" ht="15" hidden="false" customHeight="false" outlineLevel="0" collapsed="false">
      <c r="A4" s="12"/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3" t="s">
        <v>28</v>
      </c>
    </row>
    <row r="5" customFormat="false" ht="15" hidden="false" customHeight="false" outlineLevel="0" collapsed="false">
      <c r="B5" s="5" t="s">
        <v>29</v>
      </c>
      <c r="C5" s="14" t="n">
        <v>0</v>
      </c>
      <c r="D5" s="15" t="str">
        <f aca="false">IFERROR(C5/$C$10,"-")</f>
        <v>-</v>
      </c>
      <c r="E5" s="16" t="n">
        <v>0</v>
      </c>
      <c r="F5" s="15" t="str">
        <f aca="false">IFERROR(SUM(C6:C9)/$C$10,"-")</f>
        <v>-</v>
      </c>
    </row>
    <row r="6" customFormat="false" ht="15" hidden="false" customHeight="false" outlineLevel="0" collapsed="false">
      <c r="B6" s="5" t="s">
        <v>30</v>
      </c>
      <c r="C6" s="14" t="n">
        <v>0</v>
      </c>
      <c r="D6" s="15" t="str">
        <f aca="false">IFERROR(C6/$C$10,"-")</f>
        <v>-</v>
      </c>
      <c r="E6" s="16" t="n">
        <v>0</v>
      </c>
      <c r="F6" s="15" t="str">
        <f aca="false">IFERROR(SUM(C7:C9)/$C$10,"-")</f>
        <v>-</v>
      </c>
    </row>
    <row r="7" customFormat="false" ht="15" hidden="false" customHeight="false" outlineLevel="0" collapsed="false">
      <c r="B7" s="5" t="s">
        <v>31</v>
      </c>
      <c r="C7" s="14" t="n">
        <v>0</v>
      </c>
      <c r="D7" s="15" t="str">
        <f aca="false">IFERROR(C7/$C$10,"-")</f>
        <v>-</v>
      </c>
      <c r="E7" s="16" t="n">
        <v>0</v>
      </c>
      <c r="F7" s="15" t="str">
        <f aca="false">IFERROR(SUM(C8:C9)/$C$10,"-")</f>
        <v>-</v>
      </c>
    </row>
    <row r="8" customFormat="false" ht="15" hidden="false" customHeight="false" outlineLevel="0" collapsed="false">
      <c r="B8" s="5" t="s">
        <v>32</v>
      </c>
      <c r="C8" s="14" t="n">
        <v>0</v>
      </c>
      <c r="D8" s="15" t="str">
        <f aca="false">IFERROR(C8/$C$10,"-")</f>
        <v>-</v>
      </c>
      <c r="E8" s="16" t="n">
        <v>0</v>
      </c>
      <c r="F8" s="15" t="str">
        <f aca="false">IFERROR(SUM(C9:C9)/$C$10,"-")</f>
        <v>-</v>
      </c>
    </row>
    <row r="9" customFormat="false" ht="15" hidden="false" customHeight="false" outlineLevel="0" collapsed="false">
      <c r="B9" s="5" t="s">
        <v>33</v>
      </c>
      <c r="C9" s="14" t="n">
        <v>0</v>
      </c>
      <c r="D9" s="15" t="str">
        <f aca="false">IFERROR(C9/$C$10,"-")</f>
        <v>-</v>
      </c>
      <c r="E9" s="16" t="n">
        <v>0</v>
      </c>
      <c r="F9" s="15" t="str">
        <f aca="false">IFERROR(SUM(C10:C9)/$C$10,"-")</f>
        <v>-</v>
      </c>
    </row>
    <row r="10" customFormat="false" ht="15" hidden="false" customHeight="false" outlineLevel="0" collapsed="false">
      <c r="B10" s="3" t="s">
        <v>34</v>
      </c>
      <c r="C10" s="17" t="n">
        <f aca="false">SUM(C5:C9)</f>
        <v>0</v>
      </c>
    </row>
    <row r="12" customFormat="false" ht="15" hidden="false" customHeight="false" outlineLevel="0" collapsed="false">
      <c r="B12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4" min="3" style="1" width="11"/>
    <col collapsed="false" customWidth="true" hidden="false" outlineLevel="0" max="15" min="15" style="1" width="4"/>
  </cols>
  <sheetData>
    <row r="2" customFormat="false" ht="19.7" hidden="false" customHeight="false" outlineLevel="0" collapsed="false">
      <c r="B2" s="2" t="s">
        <v>36</v>
      </c>
    </row>
    <row r="4" customFormat="false" ht="15" hidden="false" customHeight="false" outlineLevel="0" collapsed="false">
      <c r="B4" s="18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  <c r="J4" s="12" t="s">
        <v>45</v>
      </c>
      <c r="K4" s="12" t="s">
        <v>46</v>
      </c>
      <c r="L4" s="12" t="s">
        <v>47</v>
      </c>
      <c r="M4" s="12" t="s">
        <v>48</v>
      </c>
      <c r="N4" s="12" t="s">
        <v>49</v>
      </c>
    </row>
    <row r="5" customFormat="false" ht="15" hidden="false" customHeight="false" outlineLevel="0" collapsed="false">
      <c r="B5" s="5" t="s">
        <v>50</v>
      </c>
      <c r="C5" s="19" t="n">
        <f aca="false">'Collateral Pool'!$C$5</f>
        <v>0</v>
      </c>
      <c r="D5" s="19" t="n">
        <f aca="false">C12</f>
        <v>0</v>
      </c>
      <c r="E5" s="19" t="n">
        <f aca="false">D12</f>
        <v>0</v>
      </c>
      <c r="F5" s="19" t="n">
        <f aca="false">E12</f>
        <v>0</v>
      </c>
      <c r="G5" s="19" t="n">
        <f aca="false">F12</f>
        <v>0</v>
      </c>
      <c r="H5" s="19" t="n">
        <f aca="false">G12</f>
        <v>0</v>
      </c>
      <c r="I5" s="19" t="n">
        <f aca="false">H12</f>
        <v>0</v>
      </c>
      <c r="J5" s="19" t="n">
        <f aca="false">I12</f>
        <v>0</v>
      </c>
      <c r="K5" s="19" t="n">
        <f aca="false">J12</f>
        <v>0</v>
      </c>
      <c r="L5" s="19" t="n">
        <f aca="false">K12</f>
        <v>0</v>
      </c>
      <c r="M5" s="19" t="n">
        <f aca="false">L12</f>
        <v>0</v>
      </c>
      <c r="N5" s="19" t="n">
        <f aca="false">M12</f>
        <v>0</v>
      </c>
    </row>
    <row r="6" customFormat="false" ht="15" hidden="false" customHeight="false" outlineLevel="0" collapsed="false">
      <c r="B6" s="5" t="s">
        <v>51</v>
      </c>
      <c r="C6" s="19" t="n">
        <f aca="false">C5*'Collateral Pool'!$C$6/12</f>
        <v>0</v>
      </c>
      <c r="D6" s="19" t="n">
        <f aca="false">D5*'Collateral Pool'!$C$6/12</f>
        <v>0</v>
      </c>
      <c r="E6" s="19" t="n">
        <f aca="false">E5*'Collateral Pool'!$C$6/12</f>
        <v>0</v>
      </c>
      <c r="F6" s="19" t="n">
        <f aca="false">F5*'Collateral Pool'!$C$6/12</f>
        <v>0</v>
      </c>
      <c r="G6" s="19" t="n">
        <f aca="false">G5*'Collateral Pool'!$C$6/12</f>
        <v>0</v>
      </c>
      <c r="H6" s="19" t="n">
        <f aca="false">H5*'Collateral Pool'!$C$6/12</f>
        <v>0</v>
      </c>
      <c r="I6" s="19" t="n">
        <f aca="false">I5*'Collateral Pool'!$C$6/12</f>
        <v>0</v>
      </c>
      <c r="J6" s="19" t="n">
        <f aca="false">J5*'Collateral Pool'!$C$6/12</f>
        <v>0</v>
      </c>
      <c r="K6" s="19" t="n">
        <f aca="false">K5*'Collateral Pool'!$C$6/12</f>
        <v>0</v>
      </c>
      <c r="L6" s="19" t="n">
        <f aca="false">L5*'Collateral Pool'!$C$6/12</f>
        <v>0</v>
      </c>
      <c r="M6" s="19" t="n">
        <f aca="false">M5*'Collateral Pool'!$C$6/12</f>
        <v>0</v>
      </c>
      <c r="N6" s="19" t="n">
        <f aca="false">N5*'Collateral Pool'!$C$6/12</f>
        <v>0</v>
      </c>
    </row>
    <row r="7" customFormat="false" ht="15" hidden="false" customHeight="false" outlineLevel="0" collapsed="false">
      <c r="B7" s="5" t="s">
        <v>52</v>
      </c>
      <c r="C7" s="19" t="n">
        <f aca="false">MAX(0,'Collateral Pool'!$C$15-C6)</f>
        <v>0</v>
      </c>
      <c r="D7" s="19" t="n">
        <f aca="false">MAX(0,'Collateral Pool'!$C$15-D6)</f>
        <v>0</v>
      </c>
      <c r="E7" s="19" t="n">
        <f aca="false">MAX(0,'Collateral Pool'!$C$15-E6)</f>
        <v>0</v>
      </c>
      <c r="F7" s="19" t="n">
        <f aca="false">MAX(0,'Collateral Pool'!$C$15-F6)</f>
        <v>0</v>
      </c>
      <c r="G7" s="19" t="n">
        <f aca="false">MAX(0,'Collateral Pool'!$C$15-G6)</f>
        <v>0</v>
      </c>
      <c r="H7" s="19" t="n">
        <f aca="false">MAX(0,'Collateral Pool'!$C$15-H6)</f>
        <v>0</v>
      </c>
      <c r="I7" s="19" t="n">
        <f aca="false">MAX(0,'Collateral Pool'!$C$15-I6)</f>
        <v>0</v>
      </c>
      <c r="J7" s="19" t="n">
        <f aca="false">MAX(0,'Collateral Pool'!$C$15-J6)</f>
        <v>0</v>
      </c>
      <c r="K7" s="19" t="n">
        <f aca="false">MAX(0,'Collateral Pool'!$C$15-K6)</f>
        <v>0</v>
      </c>
      <c r="L7" s="19" t="n">
        <f aca="false">MAX(0,'Collateral Pool'!$C$15-L6)</f>
        <v>0</v>
      </c>
      <c r="M7" s="19" t="n">
        <f aca="false">MAX(0,'Collateral Pool'!$C$15-M6)</f>
        <v>0</v>
      </c>
      <c r="N7" s="19" t="n">
        <f aca="false">MAX(0,'Collateral Pool'!$C$15-N6)</f>
        <v>0</v>
      </c>
    </row>
    <row r="8" customFormat="false" ht="15" hidden="false" customHeight="false" outlineLevel="0" collapsed="false">
      <c r="B8" s="5" t="s">
        <v>53</v>
      </c>
      <c r="C8" s="19" t="n">
        <f aca="false">C5*'Collateral Pool'!$C$14</f>
        <v>0</v>
      </c>
      <c r="D8" s="19" t="n">
        <f aca="false">D5*'Collateral Pool'!$C$14</f>
        <v>0</v>
      </c>
      <c r="E8" s="19" t="n">
        <f aca="false">E5*'Collateral Pool'!$C$14</f>
        <v>0</v>
      </c>
      <c r="F8" s="19" t="n">
        <f aca="false">F5*'Collateral Pool'!$C$14</f>
        <v>0</v>
      </c>
      <c r="G8" s="19" t="n">
        <f aca="false">G5*'Collateral Pool'!$C$14</f>
        <v>0</v>
      </c>
      <c r="H8" s="19" t="n">
        <f aca="false">H5*'Collateral Pool'!$C$14</f>
        <v>0</v>
      </c>
      <c r="I8" s="19" t="n">
        <f aca="false">I5*'Collateral Pool'!$C$14</f>
        <v>0</v>
      </c>
      <c r="J8" s="19" t="n">
        <f aca="false">J5*'Collateral Pool'!$C$14</f>
        <v>0</v>
      </c>
      <c r="K8" s="19" t="n">
        <f aca="false">K5*'Collateral Pool'!$C$14</f>
        <v>0</v>
      </c>
      <c r="L8" s="19" t="n">
        <f aca="false">L5*'Collateral Pool'!$C$14</f>
        <v>0</v>
      </c>
      <c r="M8" s="19" t="n">
        <f aca="false">M5*'Collateral Pool'!$C$14</f>
        <v>0</v>
      </c>
      <c r="N8" s="19" t="n">
        <f aca="false">N5*'Collateral Pool'!$C$14</f>
        <v>0</v>
      </c>
    </row>
    <row r="9" customFormat="false" ht="15" hidden="false" customHeight="false" outlineLevel="0" collapsed="false">
      <c r="B9" s="5" t="s">
        <v>54</v>
      </c>
      <c r="C9" s="19" t="n">
        <f aca="false">MAX(0,C5-C7-C8)*'Collateral Pool'!$C$13</f>
        <v>0</v>
      </c>
      <c r="D9" s="19" t="n">
        <f aca="false">MAX(0,D5-D7-D8)*'Collateral Pool'!$C$13</f>
        <v>0</v>
      </c>
      <c r="E9" s="19" t="n">
        <f aca="false">MAX(0,E5-E7-E8)*'Collateral Pool'!$C$13</f>
        <v>0</v>
      </c>
      <c r="F9" s="19" t="n">
        <f aca="false">MAX(0,F5-F7-F8)*'Collateral Pool'!$C$13</f>
        <v>0</v>
      </c>
      <c r="G9" s="19" t="n">
        <f aca="false">MAX(0,G5-G7-G8)*'Collateral Pool'!$C$13</f>
        <v>0</v>
      </c>
      <c r="H9" s="19" t="n">
        <f aca="false">MAX(0,H5-H7-H8)*'Collateral Pool'!$C$13</f>
        <v>0</v>
      </c>
      <c r="I9" s="19" t="n">
        <f aca="false">MAX(0,I5-I7-I8)*'Collateral Pool'!$C$13</f>
        <v>0</v>
      </c>
      <c r="J9" s="19" t="n">
        <f aca="false">MAX(0,J5-J7-J8)*'Collateral Pool'!$C$13</f>
        <v>0</v>
      </c>
      <c r="K9" s="19" t="n">
        <f aca="false">MAX(0,K5-K7-K8)*'Collateral Pool'!$C$13</f>
        <v>0</v>
      </c>
      <c r="L9" s="19" t="n">
        <f aca="false">MAX(0,L5-L7-L8)*'Collateral Pool'!$C$13</f>
        <v>0</v>
      </c>
      <c r="M9" s="19" t="n">
        <f aca="false">MAX(0,M5-M7-M8)*'Collateral Pool'!$C$13</f>
        <v>0</v>
      </c>
      <c r="N9" s="19" t="n">
        <f aca="false">MAX(0,N5-N7-N8)*'Collateral Pool'!$C$13</f>
        <v>0</v>
      </c>
    </row>
    <row r="10" customFormat="false" ht="15" hidden="false" customHeight="false" outlineLevel="0" collapsed="false">
      <c r="B10" s="5" t="s">
        <v>55</v>
      </c>
      <c r="C10" s="19" t="n">
        <v>0</v>
      </c>
      <c r="D10" s="19" t="n">
        <v>0</v>
      </c>
      <c r="E10" s="19" t="n">
        <v>0</v>
      </c>
      <c r="F10" s="19" t="n">
        <f aca="false">C8*'Collateral Pool'!$C$10</f>
        <v>0</v>
      </c>
      <c r="G10" s="19" t="n">
        <f aca="false">D8*'Collateral Pool'!$C$10</f>
        <v>0</v>
      </c>
      <c r="H10" s="19" t="n">
        <f aca="false">E8*'Collateral Pool'!$C$10</f>
        <v>0</v>
      </c>
      <c r="I10" s="19" t="n">
        <f aca="false">F8*'Collateral Pool'!$C$10</f>
        <v>0</v>
      </c>
      <c r="J10" s="19" t="n">
        <f aca="false">G8*'Collateral Pool'!$C$10</f>
        <v>0</v>
      </c>
      <c r="K10" s="19" t="n">
        <f aca="false">H8*'Collateral Pool'!$C$10</f>
        <v>0</v>
      </c>
      <c r="L10" s="19" t="n">
        <f aca="false">I8*'Collateral Pool'!$C$10</f>
        <v>0</v>
      </c>
      <c r="M10" s="19" t="n">
        <f aca="false">J8*'Collateral Pool'!$C$10</f>
        <v>0</v>
      </c>
      <c r="N10" s="19" t="n">
        <f aca="false">K8*'Collateral Pool'!$C$10</f>
        <v>0</v>
      </c>
    </row>
    <row r="11" customFormat="false" ht="15" hidden="false" customHeight="false" outlineLevel="0" collapsed="false">
      <c r="B11" s="5" t="s">
        <v>56</v>
      </c>
      <c r="C11" s="19" t="n">
        <f aca="false">C8*(1-'Collateral Pool'!$C$10)</f>
        <v>0</v>
      </c>
      <c r="D11" s="19" t="n">
        <f aca="false">D8*(1-'Collateral Pool'!$C$10)</f>
        <v>0</v>
      </c>
      <c r="E11" s="19" t="n">
        <f aca="false">E8*(1-'Collateral Pool'!$C$10)</f>
        <v>0</v>
      </c>
      <c r="F11" s="19" t="n">
        <f aca="false">F8*(1-'Collateral Pool'!$C$10)</f>
        <v>0</v>
      </c>
      <c r="G11" s="19" t="n">
        <f aca="false">G8*(1-'Collateral Pool'!$C$10)</f>
        <v>0</v>
      </c>
      <c r="H11" s="19" t="n">
        <f aca="false">H8*(1-'Collateral Pool'!$C$10)</f>
        <v>0</v>
      </c>
      <c r="I11" s="19" t="n">
        <f aca="false">I8*(1-'Collateral Pool'!$C$10)</f>
        <v>0</v>
      </c>
      <c r="J11" s="19" t="n">
        <f aca="false">J8*(1-'Collateral Pool'!$C$10)</f>
        <v>0</v>
      </c>
      <c r="K11" s="19" t="n">
        <f aca="false">K8*(1-'Collateral Pool'!$C$10)</f>
        <v>0</v>
      </c>
      <c r="L11" s="19" t="n">
        <f aca="false">L8*(1-'Collateral Pool'!$C$10)</f>
        <v>0</v>
      </c>
      <c r="M11" s="19" t="n">
        <f aca="false">M8*(1-'Collateral Pool'!$C$10)</f>
        <v>0</v>
      </c>
      <c r="N11" s="19" t="n">
        <f aca="false">N8*(1-'Collateral Pool'!$C$10)</f>
        <v>0</v>
      </c>
    </row>
    <row r="12" customFormat="false" ht="15" hidden="false" customHeight="false" outlineLevel="0" collapsed="false">
      <c r="B12" s="5" t="s">
        <v>57</v>
      </c>
      <c r="C12" s="19" t="n">
        <f aca="false">C5-C7-C8-C9</f>
        <v>0</v>
      </c>
      <c r="D12" s="19" t="n">
        <f aca="false">D5-D7-D8-D9</f>
        <v>0</v>
      </c>
      <c r="E12" s="19" t="n">
        <f aca="false">E5-E7-E8-E9</f>
        <v>0</v>
      </c>
      <c r="F12" s="19" t="n">
        <f aca="false">F5-F7-F8-F9</f>
        <v>0</v>
      </c>
      <c r="G12" s="19" t="n">
        <f aca="false">G5-G7-G8-G9</f>
        <v>0</v>
      </c>
      <c r="H12" s="19" t="n">
        <f aca="false">H5-H7-H8-H9</f>
        <v>0</v>
      </c>
      <c r="I12" s="19" t="n">
        <f aca="false">I5-I7-I8-I9</f>
        <v>0</v>
      </c>
      <c r="J12" s="19" t="n">
        <f aca="false">J5-J7-J8-J9</f>
        <v>0</v>
      </c>
      <c r="K12" s="19" t="n">
        <f aca="false">K5-K7-K8-K9</f>
        <v>0</v>
      </c>
      <c r="L12" s="19" t="n">
        <f aca="false">L5-L7-L8-L9</f>
        <v>0</v>
      </c>
      <c r="M12" s="19" t="n">
        <f aca="false">M5-M7-M8-M9</f>
        <v>0</v>
      </c>
      <c r="N12" s="19" t="n">
        <f aca="false">N5-N7-N8-N9</f>
        <v>0</v>
      </c>
    </row>
    <row r="14" customFormat="false" ht="15" hidden="false" customHeight="false" outlineLevel="0" collapsed="false">
      <c r="B14" s="3" t="s">
        <v>58</v>
      </c>
      <c r="C14" s="19" t="n">
        <f aca="false">C7+C9+C10</f>
        <v>0</v>
      </c>
      <c r="D14" s="19" t="n">
        <f aca="false">D7+D9+D10</f>
        <v>0</v>
      </c>
      <c r="E14" s="19" t="n">
        <f aca="false">E7+E9+E10</f>
        <v>0</v>
      </c>
      <c r="F14" s="19" t="n">
        <f aca="false">F7+F9+F10</f>
        <v>0</v>
      </c>
      <c r="G14" s="19" t="n">
        <f aca="false">G7+G9+G10</f>
        <v>0</v>
      </c>
      <c r="H14" s="19" t="n">
        <f aca="false">H7+H9+H10</f>
        <v>0</v>
      </c>
      <c r="I14" s="19" t="n">
        <f aca="false">I7+I9+I10</f>
        <v>0</v>
      </c>
      <c r="J14" s="19" t="n">
        <f aca="false">J7+J9+J10</f>
        <v>0</v>
      </c>
      <c r="K14" s="19" t="n">
        <f aca="false">K7+K9+K10</f>
        <v>0</v>
      </c>
      <c r="L14" s="19" t="n">
        <f aca="false">L7+L9+L10</f>
        <v>0</v>
      </c>
      <c r="M14" s="19" t="n">
        <f aca="false">M7+M9+M10</f>
        <v>0</v>
      </c>
      <c r="N14" s="19" t="n">
        <f aca="false">N7+N9+N10</f>
        <v>0</v>
      </c>
    </row>
    <row r="15" customFormat="false" ht="15" hidden="false" customHeight="false" outlineLevel="0" collapsed="false">
      <c r="B15" s="3" t="s">
        <v>59</v>
      </c>
      <c r="C15" s="19" t="n">
        <f aca="false">C11</f>
        <v>0</v>
      </c>
      <c r="D15" s="19" t="n">
        <f aca="false">D11</f>
        <v>0</v>
      </c>
      <c r="E15" s="19" t="n">
        <f aca="false">E11</f>
        <v>0</v>
      </c>
      <c r="F15" s="19" t="n">
        <f aca="false">F11</f>
        <v>0</v>
      </c>
      <c r="G15" s="19" t="n">
        <f aca="false">G11</f>
        <v>0</v>
      </c>
      <c r="H15" s="19" t="n">
        <f aca="false">H11</f>
        <v>0</v>
      </c>
      <c r="I15" s="19" t="n">
        <f aca="false">I11</f>
        <v>0</v>
      </c>
      <c r="J15" s="19" t="n">
        <f aca="false">J11</f>
        <v>0</v>
      </c>
      <c r="K15" s="19" t="n">
        <f aca="false">K11</f>
        <v>0</v>
      </c>
      <c r="L15" s="19" t="n">
        <f aca="false">L11</f>
        <v>0</v>
      </c>
      <c r="M15" s="19" t="n">
        <f aca="false">M11</f>
        <v>0</v>
      </c>
      <c r="N15" s="19" t="n">
        <f aca="false">N11</f>
        <v>0</v>
      </c>
    </row>
    <row r="16" customFormat="false" ht="15" hidden="false" customHeight="false" outlineLevel="0" collapsed="false">
      <c r="B16" s="10" t="s">
        <v>60</v>
      </c>
    </row>
    <row r="19" customFormat="false" ht="15" hidden="false" customHeight="false" outlineLevel="0" collapsed="false">
      <c r="B19" s="18" t="s">
        <v>29</v>
      </c>
    </row>
    <row r="20" customFormat="false" ht="15" hidden="false" customHeight="false" outlineLevel="0" collapsed="false">
      <c r="B20" s="5" t="s">
        <v>61</v>
      </c>
      <c r="C20" s="19" t="n">
        <f aca="false">Waterfall!C5</f>
        <v>0</v>
      </c>
      <c r="D20" s="19" t="n">
        <f aca="false">C23</f>
        <v>0</v>
      </c>
      <c r="E20" s="19" t="n">
        <f aca="false">D23</f>
        <v>0</v>
      </c>
      <c r="F20" s="19" t="n">
        <f aca="false">E23</f>
        <v>0</v>
      </c>
      <c r="G20" s="19" t="n">
        <f aca="false">F23</f>
        <v>0</v>
      </c>
      <c r="H20" s="19" t="n">
        <f aca="false">G23</f>
        <v>0</v>
      </c>
      <c r="I20" s="19" t="n">
        <f aca="false">H23</f>
        <v>0</v>
      </c>
      <c r="J20" s="19" t="n">
        <f aca="false">I23</f>
        <v>0</v>
      </c>
      <c r="K20" s="19" t="n">
        <f aca="false">J23</f>
        <v>0</v>
      </c>
      <c r="L20" s="19" t="n">
        <f aca="false">K23</f>
        <v>0</v>
      </c>
      <c r="M20" s="19" t="n">
        <f aca="false">L23</f>
        <v>0</v>
      </c>
      <c r="N20" s="19" t="n">
        <f aca="false">M23</f>
        <v>0</v>
      </c>
    </row>
    <row r="21" customFormat="false" ht="15" hidden="false" customHeight="false" outlineLevel="0" collapsed="false">
      <c r="B21" s="5" t="s">
        <v>62</v>
      </c>
      <c r="C21" s="19" t="n">
        <f aca="false">MAX(0,MIN(C14,C20))</f>
        <v>0</v>
      </c>
      <c r="D21" s="19" t="n">
        <f aca="false">MAX(0,MIN(D14,D20))</f>
        <v>0</v>
      </c>
      <c r="E21" s="19" t="n">
        <f aca="false">MAX(0,MIN(E14,E20))</f>
        <v>0</v>
      </c>
      <c r="F21" s="19" t="n">
        <f aca="false">MAX(0,MIN(F14,F20))</f>
        <v>0</v>
      </c>
      <c r="G21" s="19" t="n">
        <f aca="false">MAX(0,MIN(G14,G20))</f>
        <v>0</v>
      </c>
      <c r="H21" s="19" t="n">
        <f aca="false">MAX(0,MIN(H14,H20))</f>
        <v>0</v>
      </c>
      <c r="I21" s="19" t="n">
        <f aca="false">MAX(0,MIN(I14,I20))</f>
        <v>0</v>
      </c>
      <c r="J21" s="19" t="n">
        <f aca="false">MAX(0,MIN(J14,J20))</f>
        <v>0</v>
      </c>
      <c r="K21" s="19" t="n">
        <f aca="false">MAX(0,MIN(K14,K20))</f>
        <v>0</v>
      </c>
      <c r="L21" s="19" t="n">
        <f aca="false">MAX(0,MIN(L14,L20))</f>
        <v>0</v>
      </c>
      <c r="M21" s="19" t="n">
        <f aca="false">MAX(0,MIN(M14,M20))</f>
        <v>0</v>
      </c>
      <c r="N21" s="19" t="n">
        <f aca="false">MAX(0,MIN(N14,N20))</f>
        <v>0</v>
      </c>
    </row>
    <row r="22" customFormat="false" ht="15" hidden="false" customHeight="false" outlineLevel="0" collapsed="false">
      <c r="B22" s="5" t="s">
        <v>63</v>
      </c>
      <c r="C22" s="19" t="n">
        <f aca="false">MAX(0,MIN(C15-C42-C37-C32-C27,(C20-C21)))</f>
        <v>0</v>
      </c>
      <c r="D22" s="19" t="n">
        <f aca="false">MAX(0,MIN(D15-D42-D37-D32-D27,(D20-D21)))</f>
        <v>0</v>
      </c>
      <c r="E22" s="19" t="n">
        <f aca="false">MAX(0,MIN(E15-E42-E37-E32-E27,(E20-E21)))</f>
        <v>0</v>
      </c>
      <c r="F22" s="19" t="n">
        <f aca="false">MAX(0,MIN(F15-F42-F37-F32-F27,(F20-F21)))</f>
        <v>0</v>
      </c>
      <c r="G22" s="19" t="n">
        <f aca="false">MAX(0,MIN(G15-G42-G37-G32-G27,(G20-G21)))</f>
        <v>0</v>
      </c>
      <c r="H22" s="19" t="n">
        <f aca="false">MAX(0,MIN(H15-H42-H37-H32-H27,(H20-H21)))</f>
        <v>0</v>
      </c>
      <c r="I22" s="19" t="n">
        <f aca="false">MAX(0,MIN(I15-I42-I37-I32-I27,(I20-I21)))</f>
        <v>0</v>
      </c>
      <c r="J22" s="19" t="n">
        <f aca="false">MAX(0,MIN(J15-J42-J37-J32-J27,(J20-J21)))</f>
        <v>0</v>
      </c>
      <c r="K22" s="19" t="n">
        <f aca="false">MAX(0,MIN(K15-K42-K37-K32-K27,(K20-K21)))</f>
        <v>0</v>
      </c>
      <c r="L22" s="19" t="n">
        <f aca="false">MAX(0,MIN(L15-L42-L37-L32-L27,(L20-L21)))</f>
        <v>0</v>
      </c>
      <c r="M22" s="19" t="n">
        <f aca="false">MAX(0,MIN(M15-M42-M37-M32-M27,(M20-M21)))</f>
        <v>0</v>
      </c>
      <c r="N22" s="19" t="n">
        <f aca="false">MAX(0,MIN(N15-N42-N37-N32-N27,(N20-N21)))</f>
        <v>0</v>
      </c>
    </row>
    <row r="23" customFormat="false" ht="15" hidden="false" customHeight="false" outlineLevel="0" collapsed="false">
      <c r="B23" s="5" t="s">
        <v>64</v>
      </c>
      <c r="C23" s="19" t="n">
        <f aca="false">C20-C21-C22</f>
        <v>0</v>
      </c>
      <c r="D23" s="19" t="n">
        <f aca="false">D20-D21-D22</f>
        <v>0</v>
      </c>
      <c r="E23" s="19" t="n">
        <f aca="false">E20-E21-E22</f>
        <v>0</v>
      </c>
      <c r="F23" s="19" t="n">
        <f aca="false">F20-F21-F22</f>
        <v>0</v>
      </c>
      <c r="G23" s="19" t="n">
        <f aca="false">G20-G21-G22</f>
        <v>0</v>
      </c>
      <c r="H23" s="19" t="n">
        <f aca="false">H20-H21-H22</f>
        <v>0</v>
      </c>
      <c r="I23" s="19" t="n">
        <f aca="false">I20-I21-I22</f>
        <v>0</v>
      </c>
      <c r="J23" s="19" t="n">
        <f aca="false">J20-J21-J22</f>
        <v>0</v>
      </c>
      <c r="K23" s="19" t="n">
        <f aca="false">K20-K21-K22</f>
        <v>0</v>
      </c>
      <c r="L23" s="19" t="n">
        <f aca="false">L20-L21-L22</f>
        <v>0</v>
      </c>
      <c r="M23" s="19" t="n">
        <f aca="false">M20-M21-M22</f>
        <v>0</v>
      </c>
      <c r="N23" s="19" t="n">
        <f aca="false">N20-N21-N22</f>
        <v>0</v>
      </c>
    </row>
    <row r="24" customFormat="false" ht="15" hidden="false" customHeight="false" outlineLevel="0" collapsed="false">
      <c r="B24" s="18" t="s">
        <v>30</v>
      </c>
    </row>
    <row r="25" customFormat="false" ht="15" hidden="false" customHeight="false" outlineLevel="0" collapsed="false">
      <c r="B25" s="5" t="s">
        <v>61</v>
      </c>
      <c r="C25" s="19" t="n">
        <f aca="false">Waterfall!C6</f>
        <v>0</v>
      </c>
      <c r="D25" s="19" t="n">
        <f aca="false">C28</f>
        <v>0</v>
      </c>
      <c r="E25" s="19" t="n">
        <f aca="false">D28</f>
        <v>0</v>
      </c>
      <c r="F25" s="19" t="n">
        <f aca="false">E28</f>
        <v>0</v>
      </c>
      <c r="G25" s="19" t="n">
        <f aca="false">F28</f>
        <v>0</v>
      </c>
      <c r="H25" s="19" t="n">
        <f aca="false">G28</f>
        <v>0</v>
      </c>
      <c r="I25" s="19" t="n">
        <f aca="false">H28</f>
        <v>0</v>
      </c>
      <c r="J25" s="19" t="n">
        <f aca="false">I28</f>
        <v>0</v>
      </c>
      <c r="K25" s="19" t="n">
        <f aca="false">J28</f>
        <v>0</v>
      </c>
      <c r="L25" s="19" t="n">
        <f aca="false">K28</f>
        <v>0</v>
      </c>
      <c r="M25" s="19" t="n">
        <f aca="false">L28</f>
        <v>0</v>
      </c>
      <c r="N25" s="19" t="n">
        <f aca="false">M28</f>
        <v>0</v>
      </c>
    </row>
    <row r="26" customFormat="false" ht="15" hidden="false" customHeight="false" outlineLevel="0" collapsed="false">
      <c r="B26" s="5" t="s">
        <v>62</v>
      </c>
      <c r="C26" s="19" t="n">
        <f aca="false">MAX(0,MIN(C14-C21,C25))</f>
        <v>0</v>
      </c>
      <c r="D26" s="19" t="n">
        <f aca="false">MAX(0,MIN(D14-D21,D25))</f>
        <v>0</v>
      </c>
      <c r="E26" s="19" t="n">
        <f aca="false">MAX(0,MIN(E14-E21,E25))</f>
        <v>0</v>
      </c>
      <c r="F26" s="19" t="n">
        <f aca="false">MAX(0,MIN(F14-F21,F25))</f>
        <v>0</v>
      </c>
      <c r="G26" s="19" t="n">
        <f aca="false">MAX(0,MIN(G14-G21,G25))</f>
        <v>0</v>
      </c>
      <c r="H26" s="19" t="n">
        <f aca="false">MAX(0,MIN(H14-H21,H25))</f>
        <v>0</v>
      </c>
      <c r="I26" s="19" t="n">
        <f aca="false">MAX(0,MIN(I14-I21,I25))</f>
        <v>0</v>
      </c>
      <c r="J26" s="19" t="n">
        <f aca="false">MAX(0,MIN(J14-J21,J25))</f>
        <v>0</v>
      </c>
      <c r="K26" s="19" t="n">
        <f aca="false">MAX(0,MIN(K14-K21,K25))</f>
        <v>0</v>
      </c>
      <c r="L26" s="19" t="n">
        <f aca="false">MAX(0,MIN(L14-L21,L25))</f>
        <v>0</v>
      </c>
      <c r="M26" s="19" t="n">
        <f aca="false">MAX(0,MIN(M14-M21,M25))</f>
        <v>0</v>
      </c>
      <c r="N26" s="19" t="n">
        <f aca="false">MAX(0,MIN(N14-N21,N25))</f>
        <v>0</v>
      </c>
    </row>
    <row r="27" customFormat="false" ht="15" hidden="false" customHeight="false" outlineLevel="0" collapsed="false">
      <c r="B27" s="5" t="s">
        <v>63</v>
      </c>
      <c r="C27" s="19" t="n">
        <f aca="false">MAX(0,MIN(C15-C42-C37-C32,(C25-C26)))</f>
        <v>0</v>
      </c>
      <c r="D27" s="19" t="n">
        <f aca="false">MAX(0,MIN(D15-D42-D37-D32,(D25-D26)))</f>
        <v>0</v>
      </c>
      <c r="E27" s="19" t="n">
        <f aca="false">MAX(0,MIN(E15-E42-E37-E32,(E25-E26)))</f>
        <v>0</v>
      </c>
      <c r="F27" s="19" t="n">
        <f aca="false">MAX(0,MIN(F15-F42-F37-F32,(F25-F26)))</f>
        <v>0</v>
      </c>
      <c r="G27" s="19" t="n">
        <f aca="false">MAX(0,MIN(G15-G42-G37-G32,(G25-G26)))</f>
        <v>0</v>
      </c>
      <c r="H27" s="19" t="n">
        <f aca="false">MAX(0,MIN(H15-H42-H37-H32,(H25-H26)))</f>
        <v>0</v>
      </c>
      <c r="I27" s="19" t="n">
        <f aca="false">MAX(0,MIN(I15-I42-I37-I32,(I25-I26)))</f>
        <v>0</v>
      </c>
      <c r="J27" s="19" t="n">
        <f aca="false">MAX(0,MIN(J15-J42-J37-J32,(J25-J26)))</f>
        <v>0</v>
      </c>
      <c r="K27" s="19" t="n">
        <f aca="false">MAX(0,MIN(K15-K42-K37-K32,(K25-K26)))</f>
        <v>0</v>
      </c>
      <c r="L27" s="19" t="n">
        <f aca="false">MAX(0,MIN(L15-L42-L37-L32,(L25-L26)))</f>
        <v>0</v>
      </c>
      <c r="M27" s="19" t="n">
        <f aca="false">MAX(0,MIN(M15-M42-M37-M32,(M25-M26)))</f>
        <v>0</v>
      </c>
      <c r="N27" s="19" t="n">
        <f aca="false">MAX(0,MIN(N15-N42-N37-N32,(N25-N26)))</f>
        <v>0</v>
      </c>
    </row>
    <row r="28" customFormat="false" ht="15" hidden="false" customHeight="false" outlineLevel="0" collapsed="false">
      <c r="B28" s="5" t="s">
        <v>64</v>
      </c>
      <c r="C28" s="19" t="n">
        <f aca="false">C25-C26-C27</f>
        <v>0</v>
      </c>
      <c r="D28" s="19" t="n">
        <f aca="false">D25-D26-D27</f>
        <v>0</v>
      </c>
      <c r="E28" s="19" t="n">
        <f aca="false">E25-E26-E27</f>
        <v>0</v>
      </c>
      <c r="F28" s="19" t="n">
        <f aca="false">F25-F26-F27</f>
        <v>0</v>
      </c>
      <c r="G28" s="19" t="n">
        <f aca="false">G25-G26-G27</f>
        <v>0</v>
      </c>
      <c r="H28" s="19" t="n">
        <f aca="false">H25-H26-H27</f>
        <v>0</v>
      </c>
      <c r="I28" s="19" t="n">
        <f aca="false">I25-I26-I27</f>
        <v>0</v>
      </c>
      <c r="J28" s="19" t="n">
        <f aca="false">J25-J26-J27</f>
        <v>0</v>
      </c>
      <c r="K28" s="19" t="n">
        <f aca="false">K25-K26-K27</f>
        <v>0</v>
      </c>
      <c r="L28" s="19" t="n">
        <f aca="false">L25-L26-L27</f>
        <v>0</v>
      </c>
      <c r="M28" s="19" t="n">
        <f aca="false">M25-M26-M27</f>
        <v>0</v>
      </c>
      <c r="N28" s="19" t="n">
        <f aca="false">N25-N26-N27</f>
        <v>0</v>
      </c>
    </row>
    <row r="29" customFormat="false" ht="15" hidden="false" customHeight="false" outlineLevel="0" collapsed="false">
      <c r="B29" s="18" t="s">
        <v>31</v>
      </c>
    </row>
    <row r="30" customFormat="false" ht="15" hidden="false" customHeight="false" outlineLevel="0" collapsed="false">
      <c r="B30" s="5" t="s">
        <v>61</v>
      </c>
      <c r="C30" s="19" t="n">
        <f aca="false">Waterfall!C7</f>
        <v>0</v>
      </c>
      <c r="D30" s="19" t="n">
        <f aca="false">C33</f>
        <v>0</v>
      </c>
      <c r="E30" s="19" t="n">
        <f aca="false">D33</f>
        <v>0</v>
      </c>
      <c r="F30" s="19" t="n">
        <f aca="false">E33</f>
        <v>0</v>
      </c>
      <c r="G30" s="19" t="n">
        <f aca="false">F33</f>
        <v>0</v>
      </c>
      <c r="H30" s="19" t="n">
        <f aca="false">G33</f>
        <v>0</v>
      </c>
      <c r="I30" s="19" t="n">
        <f aca="false">H33</f>
        <v>0</v>
      </c>
      <c r="J30" s="19" t="n">
        <f aca="false">I33</f>
        <v>0</v>
      </c>
      <c r="K30" s="19" t="n">
        <f aca="false">J33</f>
        <v>0</v>
      </c>
      <c r="L30" s="19" t="n">
        <f aca="false">K33</f>
        <v>0</v>
      </c>
      <c r="M30" s="19" t="n">
        <f aca="false">L33</f>
        <v>0</v>
      </c>
      <c r="N30" s="19" t="n">
        <f aca="false">M33</f>
        <v>0</v>
      </c>
    </row>
    <row r="31" customFormat="false" ht="15" hidden="false" customHeight="false" outlineLevel="0" collapsed="false">
      <c r="B31" s="5" t="s">
        <v>62</v>
      </c>
      <c r="C31" s="19" t="n">
        <f aca="false">MAX(0,MIN(C14-C21-C26,C30))</f>
        <v>0</v>
      </c>
      <c r="D31" s="19" t="n">
        <f aca="false">MAX(0,MIN(D14-D21-D26,D30))</f>
        <v>0</v>
      </c>
      <c r="E31" s="19" t="n">
        <f aca="false">MAX(0,MIN(E14-E21-E26,E30))</f>
        <v>0</v>
      </c>
      <c r="F31" s="19" t="n">
        <f aca="false">MAX(0,MIN(F14-F21-F26,F30))</f>
        <v>0</v>
      </c>
      <c r="G31" s="19" t="n">
        <f aca="false">MAX(0,MIN(G14-G21-G26,G30))</f>
        <v>0</v>
      </c>
      <c r="H31" s="19" t="n">
        <f aca="false">MAX(0,MIN(H14-H21-H26,H30))</f>
        <v>0</v>
      </c>
      <c r="I31" s="19" t="n">
        <f aca="false">MAX(0,MIN(I14-I21-I26,I30))</f>
        <v>0</v>
      </c>
      <c r="J31" s="19" t="n">
        <f aca="false">MAX(0,MIN(J14-J21-J26,J30))</f>
        <v>0</v>
      </c>
      <c r="K31" s="19" t="n">
        <f aca="false">MAX(0,MIN(K14-K21-K26,K30))</f>
        <v>0</v>
      </c>
      <c r="L31" s="19" t="n">
        <f aca="false">MAX(0,MIN(L14-L21-L26,L30))</f>
        <v>0</v>
      </c>
      <c r="M31" s="19" t="n">
        <f aca="false">MAX(0,MIN(M14-M21-M26,M30))</f>
        <v>0</v>
      </c>
      <c r="N31" s="19" t="n">
        <f aca="false">MAX(0,MIN(N14-N21-N26,N30))</f>
        <v>0</v>
      </c>
    </row>
    <row r="32" customFormat="false" ht="15" hidden="false" customHeight="false" outlineLevel="0" collapsed="false">
      <c r="B32" s="5" t="s">
        <v>63</v>
      </c>
      <c r="C32" s="19" t="n">
        <f aca="false">MAX(0,MIN(C15-C42-C37,(C30-C31)))</f>
        <v>0</v>
      </c>
      <c r="D32" s="19" t="n">
        <f aca="false">MAX(0,MIN(D15-D42-D37,(D30-D31)))</f>
        <v>0</v>
      </c>
      <c r="E32" s="19" t="n">
        <f aca="false">MAX(0,MIN(E15-E42-E37,(E30-E31)))</f>
        <v>0</v>
      </c>
      <c r="F32" s="19" t="n">
        <f aca="false">MAX(0,MIN(F15-F42-F37,(F30-F31)))</f>
        <v>0</v>
      </c>
      <c r="G32" s="19" t="n">
        <f aca="false">MAX(0,MIN(G15-G42-G37,(G30-G31)))</f>
        <v>0</v>
      </c>
      <c r="H32" s="19" t="n">
        <f aca="false">MAX(0,MIN(H15-H42-H37,(H30-H31)))</f>
        <v>0</v>
      </c>
      <c r="I32" s="19" t="n">
        <f aca="false">MAX(0,MIN(I15-I42-I37,(I30-I31)))</f>
        <v>0</v>
      </c>
      <c r="J32" s="19" t="n">
        <f aca="false">MAX(0,MIN(J15-J42-J37,(J30-J31)))</f>
        <v>0</v>
      </c>
      <c r="K32" s="19" t="n">
        <f aca="false">MAX(0,MIN(K15-K42-K37,(K30-K31)))</f>
        <v>0</v>
      </c>
      <c r="L32" s="19" t="n">
        <f aca="false">MAX(0,MIN(L15-L42-L37,(L30-L31)))</f>
        <v>0</v>
      </c>
      <c r="M32" s="19" t="n">
        <f aca="false">MAX(0,MIN(M15-M42-M37,(M30-M31)))</f>
        <v>0</v>
      </c>
      <c r="N32" s="19" t="n">
        <f aca="false">MAX(0,MIN(N15-N42-N37,(N30-N31)))</f>
        <v>0</v>
      </c>
    </row>
    <row r="33" customFormat="false" ht="15" hidden="false" customHeight="false" outlineLevel="0" collapsed="false">
      <c r="B33" s="5" t="s">
        <v>64</v>
      </c>
      <c r="C33" s="19" t="n">
        <f aca="false">C30-C31-C32</f>
        <v>0</v>
      </c>
      <c r="D33" s="19" t="n">
        <f aca="false">D30-D31-D32</f>
        <v>0</v>
      </c>
      <c r="E33" s="19" t="n">
        <f aca="false">E30-E31-E32</f>
        <v>0</v>
      </c>
      <c r="F33" s="19" t="n">
        <f aca="false">F30-F31-F32</f>
        <v>0</v>
      </c>
      <c r="G33" s="19" t="n">
        <f aca="false">G30-G31-G32</f>
        <v>0</v>
      </c>
      <c r="H33" s="19" t="n">
        <f aca="false">H30-H31-H32</f>
        <v>0</v>
      </c>
      <c r="I33" s="19" t="n">
        <f aca="false">I30-I31-I32</f>
        <v>0</v>
      </c>
      <c r="J33" s="19" t="n">
        <f aca="false">J30-J31-J32</f>
        <v>0</v>
      </c>
      <c r="K33" s="19" t="n">
        <f aca="false">K30-K31-K32</f>
        <v>0</v>
      </c>
      <c r="L33" s="19" t="n">
        <f aca="false">L30-L31-L32</f>
        <v>0</v>
      </c>
      <c r="M33" s="19" t="n">
        <f aca="false">M30-M31-M32</f>
        <v>0</v>
      </c>
      <c r="N33" s="19" t="n">
        <f aca="false">N30-N31-N32</f>
        <v>0</v>
      </c>
    </row>
    <row r="34" customFormat="false" ht="15" hidden="false" customHeight="false" outlineLevel="0" collapsed="false">
      <c r="B34" s="18" t="s">
        <v>32</v>
      </c>
    </row>
    <row r="35" customFormat="false" ht="15" hidden="false" customHeight="false" outlineLevel="0" collapsed="false">
      <c r="B35" s="5" t="s">
        <v>61</v>
      </c>
      <c r="C35" s="19" t="n">
        <f aca="false">Waterfall!C8</f>
        <v>0</v>
      </c>
      <c r="D35" s="19" t="n">
        <f aca="false">C38</f>
        <v>0</v>
      </c>
      <c r="E35" s="19" t="n">
        <f aca="false">D38</f>
        <v>0</v>
      </c>
      <c r="F35" s="19" t="n">
        <f aca="false">E38</f>
        <v>0</v>
      </c>
      <c r="G35" s="19" t="n">
        <f aca="false">F38</f>
        <v>0</v>
      </c>
      <c r="H35" s="19" t="n">
        <f aca="false">G38</f>
        <v>0</v>
      </c>
      <c r="I35" s="19" t="n">
        <f aca="false">H38</f>
        <v>0</v>
      </c>
      <c r="J35" s="19" t="n">
        <f aca="false">I38</f>
        <v>0</v>
      </c>
      <c r="K35" s="19" t="n">
        <f aca="false">J38</f>
        <v>0</v>
      </c>
      <c r="L35" s="19" t="n">
        <f aca="false">K38</f>
        <v>0</v>
      </c>
      <c r="M35" s="19" t="n">
        <f aca="false">L38</f>
        <v>0</v>
      </c>
      <c r="N35" s="19" t="n">
        <f aca="false">M38</f>
        <v>0</v>
      </c>
    </row>
    <row r="36" customFormat="false" ht="15" hidden="false" customHeight="false" outlineLevel="0" collapsed="false">
      <c r="B36" s="5" t="s">
        <v>62</v>
      </c>
      <c r="C36" s="19" t="n">
        <f aca="false">MAX(0,MIN(C14-C21-C26-C31,C35))</f>
        <v>0</v>
      </c>
      <c r="D36" s="19" t="n">
        <f aca="false">MAX(0,MIN(D14-D21-D26-D31,D35))</f>
        <v>0</v>
      </c>
      <c r="E36" s="19" t="n">
        <f aca="false">MAX(0,MIN(E14-E21-E26-E31,E35))</f>
        <v>0</v>
      </c>
      <c r="F36" s="19" t="n">
        <f aca="false">MAX(0,MIN(F14-F21-F26-F31,F35))</f>
        <v>0</v>
      </c>
      <c r="G36" s="19" t="n">
        <f aca="false">MAX(0,MIN(G14-G21-G26-G31,G35))</f>
        <v>0</v>
      </c>
      <c r="H36" s="19" t="n">
        <f aca="false">MAX(0,MIN(H14-H21-H26-H31,H35))</f>
        <v>0</v>
      </c>
      <c r="I36" s="19" t="n">
        <f aca="false">MAX(0,MIN(I14-I21-I26-I31,I35))</f>
        <v>0</v>
      </c>
      <c r="J36" s="19" t="n">
        <f aca="false">MAX(0,MIN(J14-J21-J26-J31,J35))</f>
        <v>0</v>
      </c>
      <c r="K36" s="19" t="n">
        <f aca="false">MAX(0,MIN(K14-K21-K26-K31,K35))</f>
        <v>0</v>
      </c>
      <c r="L36" s="19" t="n">
        <f aca="false">MAX(0,MIN(L14-L21-L26-L31,L35))</f>
        <v>0</v>
      </c>
      <c r="M36" s="19" t="n">
        <f aca="false">MAX(0,MIN(M14-M21-M26-M31,M35))</f>
        <v>0</v>
      </c>
      <c r="N36" s="19" t="n">
        <f aca="false">MAX(0,MIN(N14-N21-N26-N31,N35))</f>
        <v>0</v>
      </c>
    </row>
    <row r="37" customFormat="false" ht="15" hidden="false" customHeight="false" outlineLevel="0" collapsed="false">
      <c r="B37" s="5" t="s">
        <v>63</v>
      </c>
      <c r="C37" s="19" t="n">
        <f aca="false">MAX(0,MIN(C15-C42,(C35-C36)))</f>
        <v>0</v>
      </c>
      <c r="D37" s="19" t="n">
        <f aca="false">MAX(0,MIN(D15-D42,(D35-D36)))</f>
        <v>0</v>
      </c>
      <c r="E37" s="19" t="n">
        <f aca="false">MAX(0,MIN(E15-E42,(E35-E36)))</f>
        <v>0</v>
      </c>
      <c r="F37" s="19" t="n">
        <f aca="false">MAX(0,MIN(F15-F42,(F35-F36)))</f>
        <v>0</v>
      </c>
      <c r="G37" s="19" t="n">
        <f aca="false">MAX(0,MIN(G15-G42,(G35-G36)))</f>
        <v>0</v>
      </c>
      <c r="H37" s="19" t="n">
        <f aca="false">MAX(0,MIN(H15-H42,(H35-H36)))</f>
        <v>0</v>
      </c>
      <c r="I37" s="19" t="n">
        <f aca="false">MAX(0,MIN(I15-I42,(I35-I36)))</f>
        <v>0</v>
      </c>
      <c r="J37" s="19" t="n">
        <f aca="false">MAX(0,MIN(J15-J42,(J35-J36)))</f>
        <v>0</v>
      </c>
      <c r="K37" s="19" t="n">
        <f aca="false">MAX(0,MIN(K15-K42,(K35-K36)))</f>
        <v>0</v>
      </c>
      <c r="L37" s="19" t="n">
        <f aca="false">MAX(0,MIN(L15-L42,(L35-L36)))</f>
        <v>0</v>
      </c>
      <c r="M37" s="19" t="n">
        <f aca="false">MAX(0,MIN(M15-M42,(M35-M36)))</f>
        <v>0</v>
      </c>
      <c r="N37" s="19" t="n">
        <f aca="false">MAX(0,MIN(N15-N42,(N35-N36)))</f>
        <v>0</v>
      </c>
    </row>
    <row r="38" customFormat="false" ht="15" hidden="false" customHeight="false" outlineLevel="0" collapsed="false">
      <c r="B38" s="5" t="s">
        <v>64</v>
      </c>
      <c r="C38" s="19" t="n">
        <f aca="false">C35-C36-C37</f>
        <v>0</v>
      </c>
      <c r="D38" s="19" t="n">
        <f aca="false">D35-D36-D37</f>
        <v>0</v>
      </c>
      <c r="E38" s="19" t="n">
        <f aca="false">E35-E36-E37</f>
        <v>0</v>
      </c>
      <c r="F38" s="19" t="n">
        <f aca="false">F35-F36-F37</f>
        <v>0</v>
      </c>
      <c r="G38" s="19" t="n">
        <f aca="false">G35-G36-G37</f>
        <v>0</v>
      </c>
      <c r="H38" s="19" t="n">
        <f aca="false">H35-H36-H37</f>
        <v>0</v>
      </c>
      <c r="I38" s="19" t="n">
        <f aca="false">I35-I36-I37</f>
        <v>0</v>
      </c>
      <c r="J38" s="19" t="n">
        <f aca="false">J35-J36-J37</f>
        <v>0</v>
      </c>
      <c r="K38" s="19" t="n">
        <f aca="false">K35-K36-K37</f>
        <v>0</v>
      </c>
      <c r="L38" s="19" t="n">
        <f aca="false">L35-L36-L37</f>
        <v>0</v>
      </c>
      <c r="M38" s="19" t="n">
        <f aca="false">M35-M36-M37</f>
        <v>0</v>
      </c>
      <c r="N38" s="19" t="n">
        <f aca="false">N35-N36-N37</f>
        <v>0</v>
      </c>
    </row>
    <row r="39" customFormat="false" ht="15" hidden="false" customHeight="false" outlineLevel="0" collapsed="false">
      <c r="B39" s="18" t="s">
        <v>33</v>
      </c>
    </row>
    <row r="40" customFormat="false" ht="15" hidden="false" customHeight="false" outlineLevel="0" collapsed="false">
      <c r="B40" s="5" t="s">
        <v>61</v>
      </c>
      <c r="C40" s="19" t="n">
        <f aca="false">Waterfall!C9</f>
        <v>0</v>
      </c>
      <c r="D40" s="19" t="n">
        <f aca="false">C43</f>
        <v>0</v>
      </c>
      <c r="E40" s="19" t="n">
        <f aca="false">D43</f>
        <v>0</v>
      </c>
      <c r="F40" s="19" t="n">
        <f aca="false">E43</f>
        <v>0</v>
      </c>
      <c r="G40" s="19" t="n">
        <f aca="false">F43</f>
        <v>0</v>
      </c>
      <c r="H40" s="19" t="n">
        <f aca="false">G43</f>
        <v>0</v>
      </c>
      <c r="I40" s="19" t="n">
        <f aca="false">H43</f>
        <v>0</v>
      </c>
      <c r="J40" s="19" t="n">
        <f aca="false">I43</f>
        <v>0</v>
      </c>
      <c r="K40" s="19" t="n">
        <f aca="false">J43</f>
        <v>0</v>
      </c>
      <c r="L40" s="19" t="n">
        <f aca="false">K43</f>
        <v>0</v>
      </c>
      <c r="M40" s="19" t="n">
        <f aca="false">L43</f>
        <v>0</v>
      </c>
      <c r="N40" s="19" t="n">
        <f aca="false">M43</f>
        <v>0</v>
      </c>
    </row>
    <row r="41" customFormat="false" ht="15" hidden="false" customHeight="false" outlineLevel="0" collapsed="false">
      <c r="B41" s="5" t="s">
        <v>62</v>
      </c>
      <c r="C41" s="19" t="n">
        <f aca="false">MAX(0,MIN(C14-C21-C26-C31-C36,C40))</f>
        <v>0</v>
      </c>
      <c r="D41" s="19" t="n">
        <f aca="false">MAX(0,MIN(D14-D21-D26-D31-D36,D40))</f>
        <v>0</v>
      </c>
      <c r="E41" s="19" t="n">
        <f aca="false">MAX(0,MIN(E14-E21-E26-E31-E36,E40))</f>
        <v>0</v>
      </c>
      <c r="F41" s="19" t="n">
        <f aca="false">MAX(0,MIN(F14-F21-F26-F31-F36,F40))</f>
        <v>0</v>
      </c>
      <c r="G41" s="19" t="n">
        <f aca="false">MAX(0,MIN(G14-G21-G26-G31-G36,G40))</f>
        <v>0</v>
      </c>
      <c r="H41" s="19" t="n">
        <f aca="false">MAX(0,MIN(H14-H21-H26-H31-H36,H40))</f>
        <v>0</v>
      </c>
      <c r="I41" s="19" t="n">
        <f aca="false">MAX(0,MIN(I14-I21-I26-I31-I36,I40))</f>
        <v>0</v>
      </c>
      <c r="J41" s="19" t="n">
        <f aca="false">MAX(0,MIN(J14-J21-J26-J31-J36,J40))</f>
        <v>0</v>
      </c>
      <c r="K41" s="19" t="n">
        <f aca="false">MAX(0,MIN(K14-K21-K26-K31-K36,K40))</f>
        <v>0</v>
      </c>
      <c r="L41" s="19" t="n">
        <f aca="false">MAX(0,MIN(L14-L21-L26-L31-L36,L40))</f>
        <v>0</v>
      </c>
      <c r="M41" s="19" t="n">
        <f aca="false">MAX(0,MIN(M14-M21-M26-M31-M36,M40))</f>
        <v>0</v>
      </c>
      <c r="N41" s="19" t="n">
        <f aca="false">MAX(0,MIN(N14-N21-N26-N31-N36,N40))</f>
        <v>0</v>
      </c>
    </row>
    <row r="42" customFormat="false" ht="15" hidden="false" customHeight="false" outlineLevel="0" collapsed="false">
      <c r="B42" s="5" t="s">
        <v>63</v>
      </c>
      <c r="C42" s="19" t="n">
        <f aca="false">MAX(0,MIN(C15,(C40-C41)))</f>
        <v>0</v>
      </c>
      <c r="D42" s="19" t="n">
        <f aca="false">MAX(0,MIN(D15,(D40-D41)))</f>
        <v>0</v>
      </c>
      <c r="E42" s="19" t="n">
        <f aca="false">MAX(0,MIN(E15,(E40-E41)))</f>
        <v>0</v>
      </c>
      <c r="F42" s="19" t="n">
        <f aca="false">MAX(0,MIN(F15,(F40-F41)))</f>
        <v>0</v>
      </c>
      <c r="G42" s="19" t="n">
        <f aca="false">MAX(0,MIN(G15,(G40-G41)))</f>
        <v>0</v>
      </c>
      <c r="H42" s="19" t="n">
        <f aca="false">MAX(0,MIN(H15,(H40-H41)))</f>
        <v>0</v>
      </c>
      <c r="I42" s="19" t="n">
        <f aca="false">MAX(0,MIN(I15,(I40-I41)))</f>
        <v>0</v>
      </c>
      <c r="J42" s="19" t="n">
        <f aca="false">MAX(0,MIN(J15,(J40-J41)))</f>
        <v>0</v>
      </c>
      <c r="K42" s="19" t="n">
        <f aca="false">MAX(0,MIN(K15,(K40-K41)))</f>
        <v>0</v>
      </c>
      <c r="L42" s="19" t="n">
        <f aca="false">MAX(0,MIN(L15,(L40-L41)))</f>
        <v>0</v>
      </c>
      <c r="M42" s="19" t="n">
        <f aca="false">MAX(0,MIN(M15,(M40-M41)))</f>
        <v>0</v>
      </c>
      <c r="N42" s="19" t="n">
        <f aca="false">MAX(0,MIN(N15,(N40-N41)))</f>
        <v>0</v>
      </c>
    </row>
    <row r="43" customFormat="false" ht="15" hidden="false" customHeight="false" outlineLevel="0" collapsed="false">
      <c r="B43" s="5" t="s">
        <v>64</v>
      </c>
      <c r="C43" s="19" t="n">
        <f aca="false">C40-C41-C42</f>
        <v>0</v>
      </c>
      <c r="D43" s="19" t="n">
        <f aca="false">D40-D41-D42</f>
        <v>0</v>
      </c>
      <c r="E43" s="19" t="n">
        <f aca="false">E40-E41-E42</f>
        <v>0</v>
      </c>
      <c r="F43" s="19" t="n">
        <f aca="false">F40-F41-F42</f>
        <v>0</v>
      </c>
      <c r="G43" s="19" t="n">
        <f aca="false">G40-G41-G42</f>
        <v>0</v>
      </c>
      <c r="H43" s="19" t="n">
        <f aca="false">H40-H41-H42</f>
        <v>0</v>
      </c>
      <c r="I43" s="19" t="n">
        <f aca="false">I40-I41-I42</f>
        <v>0</v>
      </c>
      <c r="J43" s="19" t="n">
        <f aca="false">J40-J41-J42</f>
        <v>0</v>
      </c>
      <c r="K43" s="19" t="n">
        <f aca="false">K40-K41-K42</f>
        <v>0</v>
      </c>
      <c r="L43" s="19" t="n">
        <f aca="false">L40-L41-L42</f>
        <v>0</v>
      </c>
      <c r="M43" s="19" t="n">
        <f aca="false">M40-M41-M42</f>
        <v>0</v>
      </c>
      <c r="N43" s="19" t="n">
        <f aca="false">N40-N41-N42</f>
        <v>0</v>
      </c>
    </row>
    <row r="45" customFormat="false" ht="15" hidden="false" customHeight="false" outlineLevel="0" collapsed="false">
      <c r="B45" s="18" t="s">
        <v>65</v>
      </c>
    </row>
    <row r="46" customFormat="false" ht="15" hidden="false" customHeight="false" outlineLevel="0" collapsed="false">
      <c r="B46" s="5" t="s">
        <v>29</v>
      </c>
      <c r="C46" s="20" t="str">
        <f aca="false">IFERROR(SUMPRODUCT(COLUMN(C21:N21)-COLUMN(C21)+1,C21:N21)/SUM(C21:N21)/12,"-")</f>
        <v>-</v>
      </c>
    </row>
    <row r="47" customFormat="false" ht="15" hidden="false" customHeight="false" outlineLevel="0" collapsed="false">
      <c r="B47" s="5" t="s">
        <v>30</v>
      </c>
      <c r="C47" s="20" t="str">
        <f aca="false">IFERROR(SUMPRODUCT(COLUMN(C26:N26)-COLUMN(C26)+1,C26:N26)/SUM(C26:N26)/12,"-")</f>
        <v>-</v>
      </c>
    </row>
    <row r="48" customFormat="false" ht="15" hidden="false" customHeight="false" outlineLevel="0" collapsed="false">
      <c r="B48" s="5" t="s">
        <v>31</v>
      </c>
      <c r="C48" s="20" t="str">
        <f aca="false">IFERROR(SUMPRODUCT(COLUMN(C31:N31)-COLUMN(C31)+1,C31:N31)/SUM(C31:N31)/12,"-")</f>
        <v>-</v>
      </c>
    </row>
    <row r="49" customFormat="false" ht="15" hidden="false" customHeight="false" outlineLevel="0" collapsed="false">
      <c r="B49" s="5" t="s">
        <v>32</v>
      </c>
      <c r="C49" s="20" t="str">
        <f aca="false">IFERROR(SUMPRODUCT(COLUMN(C36:N36)-COLUMN(C36)+1,C36:N36)/SUM(C36:N36)/12,"-")</f>
        <v>-</v>
      </c>
    </row>
    <row r="50" customFormat="false" ht="15" hidden="false" customHeight="false" outlineLevel="0" collapsed="false">
      <c r="B50" s="5" t="s">
        <v>33</v>
      </c>
      <c r="C50" s="20" t="str">
        <f aca="false">IFERROR(SUMPRODUCT(COLUMN(C41:N41)-COLUMN(C41)+1,C41:N41)/SUM(C41:N41)/12,"-")</f>
        <v>-</v>
      </c>
    </row>
    <row r="51" customFormat="false" ht="15" hidden="false" customHeight="false" outlineLevel="0" collapsed="false">
      <c r="B51" s="10" t="s">
        <v>66</v>
      </c>
    </row>
    <row r="53" customFormat="false" ht="15" hidden="false" customHeight="false" outlineLevel="0" collapsed="false">
      <c r="B53" s="18" t="s">
        <v>67</v>
      </c>
    </row>
    <row r="54" customFormat="false" ht="15" hidden="false" customHeight="false" outlineLevel="0" collapsed="false">
      <c r="B54" s="1" t="s">
        <v>68</v>
      </c>
      <c r="C54" s="19" t="n">
        <f aca="false">N12</f>
        <v>0</v>
      </c>
    </row>
    <row r="55" customFormat="false" ht="15" hidden="false" customHeight="false" outlineLevel="0" collapsed="false">
      <c r="B55" s="1" t="s">
        <v>69</v>
      </c>
      <c r="C55" s="19" t="n">
        <f aca="false">N23+N28+N33+N38+N43</f>
        <v>0</v>
      </c>
    </row>
    <row r="56" customFormat="false" ht="15" hidden="false" customHeight="false" outlineLevel="0" collapsed="false">
      <c r="B56" s="1" t="s">
        <v>70</v>
      </c>
      <c r="C56" s="19" t="n">
        <f aca="false">C54-C55</f>
        <v>0</v>
      </c>
    </row>
    <row r="57" customFormat="false" ht="15" hidden="false" customHeight="false" outlineLevel="0" collapsed="false">
      <c r="B57" s="1" t="s">
        <v>71</v>
      </c>
      <c r="C57" s="19" t="n">
        <f aca="false">-'Collateral Pool'!$C$10*(L8+M8+N8)</f>
        <v>-0</v>
      </c>
    </row>
    <row r="58" customFormat="false" ht="15" hidden="false" customHeight="false" outlineLevel="0" collapsed="false">
      <c r="B58" s="1" t="s">
        <v>72</v>
      </c>
      <c r="C58" s="21" t="n">
        <f aca="false">C56-C57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73</v>
      </c>
    </row>
    <row r="4" customFormat="false" ht="15" hidden="false" customHeight="false" outlineLevel="0" collapsed="false">
      <c r="B4" s="12" t="s">
        <v>74</v>
      </c>
      <c r="C4" s="12" t="s">
        <v>75</v>
      </c>
      <c r="D4" s="12" t="s">
        <v>76</v>
      </c>
      <c r="E4" s="12" t="s">
        <v>77</v>
      </c>
      <c r="F4" s="12" t="s">
        <v>78</v>
      </c>
    </row>
    <row r="5" customFormat="false" ht="15" hidden="false" customHeight="false" outlineLevel="0" collapsed="false">
      <c r="B5" s="22"/>
      <c r="C5" s="22"/>
      <c r="D5" s="22"/>
      <c r="E5" s="22"/>
      <c r="F5" s="22"/>
    </row>
    <row r="6" customFormat="false" ht="15" hidden="false" customHeight="false" outlineLevel="0" collapsed="false">
      <c r="B6" s="22"/>
      <c r="C6" s="22"/>
      <c r="D6" s="22"/>
      <c r="E6" s="22"/>
      <c r="F6" s="22"/>
    </row>
    <row r="7" customFormat="false" ht="15" hidden="false" customHeight="false" outlineLevel="0" collapsed="false">
      <c r="B7" s="22"/>
      <c r="C7" s="22"/>
      <c r="D7" s="22"/>
      <c r="E7" s="22"/>
      <c r="F7" s="22"/>
    </row>
    <row r="8" customFormat="false" ht="15" hidden="false" customHeight="false" outlineLevel="0" collapsed="false">
      <c r="B8" s="22"/>
      <c r="C8" s="22"/>
      <c r="D8" s="22"/>
      <c r="E8" s="22"/>
      <c r="F8" s="22"/>
    </row>
    <row r="9" customFormat="false" ht="15" hidden="false" customHeight="false" outlineLevel="0" collapsed="false">
      <c r="B9" s="22"/>
      <c r="C9" s="22"/>
      <c r="D9" s="22"/>
      <c r="E9" s="22"/>
      <c r="F9" s="22"/>
    </row>
    <row r="10" customFormat="false" ht="15" hidden="false" customHeight="false" outlineLevel="0" collapsed="false">
      <c r="B10" s="22"/>
      <c r="C10" s="22"/>
      <c r="D10" s="22"/>
      <c r="E10" s="22"/>
      <c r="F10" s="22"/>
    </row>
    <row r="11" customFormat="false" ht="15" hidden="false" customHeight="false" outlineLevel="0" collapsed="false">
      <c r="B11" s="22"/>
      <c r="C11" s="22"/>
      <c r="D11" s="22"/>
      <c r="E11" s="22"/>
      <c r="F11" s="22"/>
    </row>
    <row r="12" customFormat="false" ht="15" hidden="false" customHeight="false" outlineLevel="0" collapsed="false">
      <c r="B12" s="22"/>
      <c r="C12" s="22"/>
      <c r="D12" s="22"/>
      <c r="E12" s="22"/>
      <c r="F12" s="22"/>
    </row>
    <row r="13" customFormat="false" ht="15" hidden="false" customHeight="false" outlineLevel="0" collapsed="false">
      <c r="B13" s="22"/>
      <c r="C13" s="22"/>
      <c r="D13" s="22"/>
      <c r="E13" s="22"/>
      <c r="F13" s="22"/>
    </row>
    <row r="14" customFormat="false" ht="15" hidden="false" customHeight="false" outlineLevel="0" collapsed="false">
      <c r="B14" s="22"/>
      <c r="C14" s="22"/>
      <c r="D14" s="22"/>
      <c r="E14" s="22"/>
      <c r="F14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2026-08-04T13:05:23Z</dcterms:created>
  <dc:creator>openpyxl</dc:creator>
  <dc:description/>
  <dc:language>en-US</dc:language>
  <cp:lastModifiedBy/>
  <dcterms:modified xsi:type="dcterms:W3CDTF">2026-08-04T13:05:23Z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