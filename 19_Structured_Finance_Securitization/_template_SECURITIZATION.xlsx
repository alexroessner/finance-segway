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ollateral Pool" sheetId="2" state="visible" r:id="rId4"/>
    <sheet name="Waterfall" sheetId="3" state="visible" r:id="rId5"/>
    <sheet name="Tranche Cash Flow Waterfall" sheetId="4" state="visible" r:id="rId6"/>
    <sheet name="PSA Prepayment Sensitivity" sheetId="5" state="visible" r:id="rId7"/>
    <sheet name="Sources" sheetId="6" state="visible" r:id="rId8"/>
    <sheet name="Checks" sheetId="7" state="visible" r:id="rId9"/>
    <sheet name="Refresh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<sst xmlns="http://schemas.openxmlformats.org/spreadsheetml/2006/main" count="247" uniqueCount="127">
  <si>
    <t xml:space="preserve">[DEAL] — Structured Finance / Securitization Model</t>
  </si>
  <si>
    <t xml:space="preserve">Asset class:</t>
  </si>
  <si>
    <t xml:space="preserve">RMBS / ABS / CLO</t>
  </si>
  <si>
    <t xml:space="preserve">Closing date:</t>
  </si>
  <si>
    <t xml:space="preserve">[date]</t>
  </si>
  <si>
    <t xml:space="preserve">Last refreshed:</t>
  </si>
  <si>
    <t xml:space="preserve">Refresh cadence:</t>
  </si>
  <si>
    <t xml:space="preserve">Weekly (monthly at distribution date)</t>
  </si>
  <si>
    <t xml:space="preserve">Collateral Pool Summary</t>
  </si>
  <si>
    <t xml:space="preserve">Aggregate pool balance ($)</t>
  </si>
  <si>
    <t xml:space="preserve">Weighted avg coupon (WAC, %)</t>
  </si>
  <si>
    <t xml:space="preserve">Weighted avg maturity (WAM, months)</t>
  </si>
  <si>
    <t xml:space="preserve">Conditional prepayment rate assumption (CPR, %)</t>
  </si>
  <si>
    <t xml:space="preserve">Conditional default rate assumption (CDR, annual %)</t>
  </si>
  <si>
    <t xml:space="preserve">Recovery rate on defaults (%)</t>
  </si>
  <si>
    <t xml:space="preserve">Recovery lag (months from default to cash)</t>
  </si>
  <si>
    <t xml:space="preserve">Single Monthly Mortality (SMM) from CPR</t>
  </si>
  <si>
    <t xml:space="preserve">SMM = 1-(1-CPR)^(1/12) — standard CPR-to-SMM conversion</t>
  </si>
  <si>
    <t xml:space="preserve">Monthly Default Rate (MDR) from CDR</t>
  </si>
  <si>
    <t xml:space="preserve">MDR = 1-(1-CDR)^(1/12) — same conditional-rate-to-monthly conversion as SMM, applied to defaults instead of prepayments</t>
  </si>
  <si>
    <t xml:space="preserve">Scheduled monthly P&amp;I payment (level-pay amortization)</t>
  </si>
  <si>
    <t xml:space="preserve">Standard mortgage-style level payment: Balance x (WAC/12) / (1-(1+WAC/12)^-WAM). Constant $ payment; the interest/principal split shifts over time as the balance amortizes.</t>
  </si>
  <si>
    <t xml:space="preserve">Tranche Structure &amp; Credit Enhancement</t>
  </si>
  <si>
    <t xml:space="preserve">Tranche</t>
  </si>
  <si>
    <t xml:space="preserve">Face ($)</t>
  </si>
  <si>
    <t xml:space="preserve">% of pool</t>
  </si>
  <si>
    <t xml:space="preserve">Coupon</t>
  </si>
  <si>
    <t xml:space="preserve">Credit enhancement %</t>
  </si>
  <si>
    <t xml:space="preserve">Notes</t>
  </si>
  <si>
    <t xml:space="preserve">Class A (senior)</t>
  </si>
  <si>
    <t xml:space="preserve">Class B (mezz)</t>
  </si>
  <si>
    <t xml:space="preserve">Class C (mezz)</t>
  </si>
  <si>
    <t xml:space="preserve">Class D (subordinate)</t>
  </si>
  <si>
    <t xml:space="preserve">Equity / residual</t>
  </si>
  <si>
    <t xml:space="preserve">Total</t>
  </si>
  <si>
    <t xml:space="preserve">CE% for a tranche = subordinate tranche cushion that absorbs losses before it does</t>
  </si>
  <si>
    <t xml:space="preserve">12-Month Tranche Cash Flow Waterfall</t>
  </si>
  <si>
    <t xml:space="preserve">Pool Cash Flow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</si>
  <si>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</si>
  <si>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</si>
  <si>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</si>
  <si>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</si>
  <si>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</si>
  <si>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</si>
  <si>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</si>
  <si>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</si>
  <si>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</si>
  <si>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</si>
  <si>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</si>
  <si>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</si>
  <si>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Beginning balance</t>
  </si>
  <si>
    <t xml:space="preserve">Scheduled interest (WAC/12 x beg.)</t>
  </si>
  <si>
    <t xml:space="preserve">Scheduled principal (level-pay P&amp;I - interest)</t>
  </si>
  <si>
    <t xml:space="preserve">Defaults (MDR x beg.)</t>
  </si>
  <si>
    <t xml:space="preserve">Prepayments (SMM x remaining)</t>
  </si>
  <si>
    <t xml:space="preserve">Recovery proceeds (lagged, net of severity)</t>
  </si>
  <si>
    <t xml:space="preserve">Realized loss (defaults x (1 - recovery rate))</t>
  </si>
  <si>
    <t xml:space="preserve">Ending balance</t>
  </si>
  <si>
    <t xml:space="preserve">Principal available for tranches</t>
  </si>
  <si>
    <t xml:space="preserve">Loss to allocate to tranches</t>
  </si>
  <si>
    <t xml:space="preserve">Recovery lag fixed at 3 months to match Collateral Pool's default assumption — if you change that input, update RECOVERY_LAG_MONTHS in the builder and regenerate, since the lag is baked into which column each recovery formula references, not read dynamically.</t>
  </si>
  <si>
    <t xml:space="preserve">  Beginning balance</t>
  </si>
  <si>
    <t xml:space="preserve">  Principal received</t>
  </si>
  <si>
    <t xml:space="preserve">  Loss allocated</t>
  </si>
  <si>
    <t xml:space="preserve">  Ending balance</t>
  </si>
  <si>
    <t xml:space="preserve">Per-Tranche WAL (this 12-month window only)</t>
  </si>
  <si>
    <t xml:space="preserve">Truncated to this 12-month window, not the full deal life — senior tranches whose principal keeps flowing past month 12 will show an understated WAL here. Extend the schedule to the deal's actual WAM for a real disclosure number.</t>
  </si>
  <si>
    <t xml:space="preserve">Reconciliation: Pool vs. Tranches</t>
  </si>
  <si>
    <t xml:space="preserve">Pool ending balance (month 12)</t>
  </si>
  <si>
    <t xml:space="preserve">Sum of tranche ending balances (month 12)</t>
  </si>
  <si>
    <t xml:space="preserve">Difference (pool - tranches)</t>
  </si>
  <si>
    <t xml:space="preserve">Expected difference: -(recovery rate x defaults from the last 3 months, not yet recovered in-window)</t>
  </si>
  <si>
    <t xml:space="preserve">Check (actual difference - expected difference, should be ~0)</t>
  </si>
  <si>
    <t xml:space="preserve">PSA Prepayment Vector Sensitivity — Pool WAL by Speed</t>
  </si>
  <si>
    <t xml:space="preserve">100% PSA: CPR ramps 0.2%/month from month 1, capping at 6% CPR at month 30 and holding flat -- the standard SIFMA/PSA benchmark curve. Other speeds scale that same ramp proportionally (50% PSA = half the CPR at every month, 300% PSA = triple). Isolates prepayment-speed risk on the pool's own WAL, separate from the default/loss mechanics on the Tranche Cash Flow Waterfall tab.</t>
  </si>
  <si>
    <t xml:space="preserve">50% PSA</t>
  </si>
  <si>
    <t xml:space="preserve">  CPR this month (100% PSA x speed, capped at 6%)</t>
  </si>
  <si>
    <t xml:space="preserve">  SMM</t>
  </si>
  <si>
    <t xml:space="preserve">  Scheduled principal</t>
  </si>
  <si>
    <t xml:space="preserve">  Prepayment</t>
  </si>
  <si>
    <t xml:space="preserve">100% PSA</t>
  </si>
  <si>
    <t xml:space="preserve">150% PSA</t>
  </si>
  <si>
    <t xml:space="preserve">200% PSA</t>
  </si>
  <si>
    <t xml:space="preserve">300% PSA</t>
  </si>
  <si>
    <t xml:space="preserve">Pool WAL by PSA Speed</t>
  </si>
  <si>
    <t xml:space="preserve">PSA speed</t>
  </si>
  <si>
    <t xml:space="preserve">Pool WAL (12-mo window, yrs)</t>
  </si>
  <si>
    <t xml:space="preserve">WAL here is NOT guaranteed to fall monotonically with PSA speed: all 12 months sit on the rising part of the PSA ramp (it doesn't flatten until month 30), so a higher speed multiplier makes prepayment dollars grow faster WITHIN this short window, which can pull the weighted-average month later even though total principal returned is unambiguously higher. See the Checks sheet -- ending balance and total principal returned ARE always monotonic in speed; WAL only becomes monotonic once the window is long enough to reach the flat part of the ramp.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</si>
  <si>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</si>
  <si>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</si>
  <si>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</si>
  <si>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</si>
  <si>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</si>
  <si>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</si>
  <si>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PSA (SIFMA) standard prepayment benchmark: 100% PSA ramps 0.2%/mo CPR to 6% at month 30</t>
  </si>
  <si>
    <t xml:space="preserve">Public Securities Association / SIFMA standard prepayment convention</t>
  </si>
  <si>
    <t xml:space="preserve">Industry standard</t>
  </si>
  <si>
    <t xml:space="preserve">Within a 12-month window the ramp never reaches its month-30 cap, so all 12 months are still on the linear ramp portion at every PSA speed shown</t>
  </si>
  <si>
    <t xml:space="preserve">CDR/MDR and CPR/SMM conditional-to-monthly conversions</t>
  </si>
  <si>
    <t xml:space="preserve">Standard mortgage/ABS conditional-rate-to-monthly-rate conversion, 1-(1-annual)^(1/12)</t>
  </si>
  <si>
    <t xml:space="preserve">Standard practice</t>
  </si>
  <si>
    <t xml:space="preserve">Applied uniformly across the pool -- does not vary by loan seasoning or loan-level characteristics</t>
  </si>
  <si>
    <t xml:space="preserve">Two-directional tranche cascade: principal senior-to-junior, loss junior-to-senior</t>
  </si>
  <si>
    <t xml:space="preserve">Standard structured-finance sequential-pay / subordination mechanics</t>
  </si>
  <si>
    <t xml:space="preserve">Sequential pay only -- no pro-rata or shifting-interest structures, which are also common in real deals</t>
  </si>
  <si>
    <t xml:space="preserve">Level-pay mortgage amortization for scheduled principal/interest</t>
  </si>
  <si>
    <t xml:space="preserve">Standard mortgage-style amortization: Balance x (WAC/12)/(1-(1+WAC/12)^-WAM)</t>
  </si>
  <si>
    <t xml:space="preserve">Assumes a single WAC/WAM for the whole pool -- a real pool has loan-level dispersion this weighted-average approach smooths over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</si>
  <si>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</si>
  <si>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</si>
  <si>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</si>
  <si>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</si>
  <si>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</si>
  <si>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Pool ending balance (month 12) falls monotonically as PSA speed rises (50% through 300%) -- WAL itself is NOT guaranteed monotonic within a truncated ramp-up window; see the note on the PSA sheet</t>
  </si>
  <si>
    <t xml:space="preserve">TRUE -- faster prepayment can only shrink the pool faster, never slower, regardless of ramp back-loading effects on WAL</t>
  </si>
  <si>
    <t xml:space="preserve">Reconciliation check (pool vs. tranches, month 12) ties to the recovery-lag-explained difference</t>
  </si>
  <si>
    <t xml:space="preserve">0 (exact) -- the pool-vs-tranche gap is fully explained by the recovery lag, not an unexplained modeling error</t>
  </si>
  <si>
    <t xml:space="preserve">Per-tranche WAL is non-decreasing senior to junior (Class A shortest, Equity longest)</t>
  </si>
  <si>
    <t xml:space="preserve">TRUE under most parameterizations -- sequential pay means more senior tranches are retired first</t>
  </si>
  <si>
    <t xml:space="preserve">Credit enhancement % is non-decreasing senior to junior (Class A most protected)</t>
  </si>
  <si>
    <t xml:space="preserve">TRUE -- by construction, CE% = subordinate face / pool, which mechanically decreases moving down the stack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</si>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</sst>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0.00%;\(0.00%\);\-"/>
    <numFmt numFmtId="169" formatCode="\$#,##0.00;&quot;($&quot;#,##0.00\);\-"/>
    <numFmt numFmtId="170" formatCode="0.00"/>
    <numFmt numFmtId="171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4</v>
      </c>
    </row>
    <row r="7" customFormat="false" ht="15" hidden="false" customHeight="tru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8</v>
      </c>
    </row>
    <row r="5" customFormat="false" ht="15" hidden="false" customHeight="true" outlineLevel="0" collapsed="false">
      <c r="B5" s="5" t="s">
        <v>9</v>
      </c>
      <c r="C5" s="6" t="n">
        <v>100000000</v>
      </c>
    </row>
    <row r="6" customFormat="false" ht="15" hidden="false" customHeight="true" outlineLevel="0" collapsed="false">
      <c r="B6" s="5" t="s">
        <v>10</v>
      </c>
      <c r="C6" s="7" t="n">
        <v>0.065</v>
      </c>
    </row>
    <row r="7" customFormat="false" ht="15" hidden="false" customHeight="true" outlineLevel="0" collapsed="false">
      <c r="B7" s="5" t="s">
        <v>11</v>
      </c>
      <c r="C7" s="8" t="n">
        <v>360</v>
      </c>
    </row>
    <row r="8" customFormat="false" ht="15" hidden="false" customHeight="true" outlineLevel="0" collapsed="false">
      <c r="B8" s="5" t="s">
        <v>12</v>
      </c>
      <c r="C8" s="7" t="n">
        <v>0.09</v>
      </c>
    </row>
    <row r="9" customFormat="false" ht="15" hidden="false" customHeight="true" outlineLevel="0" collapsed="false">
      <c r="B9" s="5" t="s">
        <v>13</v>
      </c>
      <c r="C9" s="7" t="n">
        <v>0.025</v>
      </c>
    </row>
    <row r="10" customFormat="false" ht="15" hidden="false" customHeight="true" outlineLevel="0" collapsed="false">
      <c r="B10" s="5" t="s">
        <v>14</v>
      </c>
      <c r="C10" s="7" t="n">
        <v>0.45</v>
      </c>
    </row>
    <row r="11" customFormat="false" ht="15" hidden="false" customHeight="true" outlineLevel="0" collapsed="false">
      <c r="B11" s="5" t="s">
        <v>15</v>
      </c>
      <c r="C11" s="8" t="n">
        <v>3</v>
      </c>
    </row>
    <row r="13" customFormat="false" ht="15" hidden="false" customHeight="true" outlineLevel="0" collapsed="false">
      <c r="B13" s="1" t="s">
        <v>16</v>
      </c>
      <c r="C13" s="9" t="n">
        <f aca="false">1-(1-C8)^(1/12)</f>
        <v>0.00782842034248321</v>
      </c>
      <c r="D13" s="10" t="s">
        <v>17</v>
      </c>
    </row>
    <row r="14" customFormat="false" ht="15" hidden="false" customHeight="true" outlineLevel="0" collapsed="false">
      <c r="B14" s="1" t="s">
        <v>18</v>
      </c>
      <c r="C14" s="9" t="n">
        <f aca="false">1-(1-C9)^(1/12)</f>
        <v>0.00210759323186027</v>
      </c>
      <c r="D14" s="10" t="s">
        <v>19</v>
      </c>
    </row>
    <row r="15" customFormat="false" ht="15" hidden="false" customHeight="true" outlineLevel="0" collapsed="false">
      <c r="B15" s="1" t="s">
        <v>20</v>
      </c>
      <c r="C15" s="11" t="n">
        <f aca="false">IFERROR(C5*(C6/12)/(1-(1+C6/12)^(-C7)),"-")</f>
        <v>632068.023492965</v>
      </c>
      <c r="D15" s="1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5" min="3" style="1" width="14"/>
    <col collapsed="false" customWidth="true" hidden="false" outlineLevel="0" max="6" min="6" style="1" width="16"/>
    <col collapsed="false" customWidth="true" hidden="false" outlineLevel="0" max="7" min="7" style="1" width="40"/>
  </cols>
  <sheetData>
    <row r="2" customFormat="false" ht="19.5" hidden="false" customHeight="true" outlineLevel="0" collapsed="false">
      <c r="B2" s="2" t="s">
        <v>22</v>
      </c>
    </row>
    <row r="4" customFormat="false" ht="15" hidden="false" customHeight="true" outlineLevel="0" collapsed="false">
      <c r="A4" s="12"/>
      <c r="B4" s="12" t="s">
        <v>23</v>
      </c>
      <c r="C4" s="12" t="s">
        <v>24</v>
      </c>
      <c r="D4" s="12" t="s">
        <v>25</v>
      </c>
      <c r="E4" s="12" t="s">
        <v>26</v>
      </c>
      <c r="F4" s="12" t="s">
        <v>27</v>
      </c>
      <c r="G4" s="1" t="s">
        <v>28</v>
      </c>
    </row>
    <row r="5" customFormat="false" ht="15" hidden="false" customHeight="true" outlineLevel="0" collapsed="false">
      <c r="B5" s="5" t="s">
        <v>29</v>
      </c>
      <c r="C5" s="13" t="n">
        <v>80000000</v>
      </c>
      <c r="D5" s="14" t="n">
        <f aca="false">IFERROR(C5/$C$10,"-")</f>
        <v>0.8</v>
      </c>
      <c r="E5" s="15" t="n">
        <v>0.045</v>
      </c>
      <c r="F5" s="14" t="n">
        <f aca="false">IFERROR(SUM(C6:C9)/$C$10,"-")</f>
        <v>0.2</v>
      </c>
    </row>
    <row r="6" customFormat="false" ht="15" hidden="false" customHeight="true" outlineLevel="0" collapsed="false">
      <c r="B6" s="5" t="s">
        <v>30</v>
      </c>
      <c r="C6" s="13" t="n">
        <v>10000000</v>
      </c>
      <c r="D6" s="14" t="n">
        <f aca="false">IFERROR(C6/$C$10,"-")</f>
        <v>0.1</v>
      </c>
      <c r="E6" s="15" t="n">
        <v>0.055</v>
      </c>
      <c r="F6" s="14" t="n">
        <f aca="false">IFERROR(SUM(C7:C9)/$C$10,"-")</f>
        <v>0.1</v>
      </c>
    </row>
    <row r="7" customFormat="false" ht="15" hidden="false" customHeight="true" outlineLevel="0" collapsed="false">
      <c r="B7" s="5" t="s">
        <v>31</v>
      </c>
      <c r="C7" s="13" t="n">
        <v>5000000</v>
      </c>
      <c r="D7" s="14" t="n">
        <f aca="false">IFERROR(C7/$C$10,"-")</f>
        <v>0.05</v>
      </c>
      <c r="E7" s="15" t="n">
        <v>0.065</v>
      </c>
      <c r="F7" s="14" t="n">
        <f aca="false">IFERROR(SUM(C8:C9)/$C$10,"-")</f>
        <v>0.05</v>
      </c>
    </row>
    <row r="8" customFormat="false" ht="15" hidden="false" customHeight="true" outlineLevel="0" collapsed="false">
      <c r="B8" s="5" t="s">
        <v>32</v>
      </c>
      <c r="C8" s="13" t="n">
        <v>3000000</v>
      </c>
      <c r="D8" s="14" t="n">
        <f aca="false">IFERROR(C8/$C$10,"-")</f>
        <v>0.03</v>
      </c>
      <c r="E8" s="15" t="n">
        <v>0.08</v>
      </c>
      <c r="F8" s="14" t="n">
        <f aca="false">IFERROR(SUM(C9:C9)/$C$10,"-")</f>
        <v>0.02</v>
      </c>
    </row>
    <row r="9" customFormat="false" ht="15" hidden="false" customHeight="true" outlineLevel="0" collapsed="false">
      <c r="B9" s="5" t="s">
        <v>33</v>
      </c>
      <c r="C9" s="13" t="n">
        <v>2000000</v>
      </c>
      <c r="D9" s="14" t="n">
        <f aca="false">IFERROR(C9/$C$10,"-")</f>
        <v>0.02</v>
      </c>
      <c r="E9" s="15" t="n">
        <v>0</v>
      </c>
      <c r="F9" s="14" t="n">
        <f aca="false">IFERROR(SUM(C10:C9)/$C$10,"-")</f>
        <v>1.02</v>
      </c>
    </row>
    <row r="10" customFormat="false" ht="15" hidden="false" customHeight="true" outlineLevel="0" collapsed="false">
      <c r="B10" s="3" t="s">
        <v>34</v>
      </c>
      <c r="C10" s="16" t="n">
        <f aca="false">SUM(C5:C9)</f>
        <v>100000000</v>
      </c>
    </row>
    <row r="12" customFormat="false" ht="15" hidden="false" customHeight="true" outlineLevel="0" collapsed="false">
      <c r="B12" s="1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4" min="3" style="1" width="11"/>
    <col collapsed="false" customWidth="true" hidden="false" outlineLevel="0" max="15" min="15" style="1" width="4"/>
  </cols>
  <sheetData>
    <row r="2" customFormat="false" ht="19.5" hidden="false" customHeight="true" outlineLevel="0" collapsed="false">
      <c r="B2" s="2" t="s">
        <v>36</v>
      </c>
    </row>
    <row r="4" customFormat="false" ht="15" hidden="false" customHeight="true" outlineLevel="0" collapsed="false">
      <c r="B4" s="17" t="s">
        <v>37</v>
      </c>
      <c r="C4" s="12" t="s">
        <v>38</v>
      </c>
      <c r="D4" s="12" t="s">
        <v>39</v>
      </c>
      <c r="E4" s="12" t="s">
        <v>40</v>
      </c>
      <c r="F4" s="12" t="s">
        <v>41</v>
      </c>
      <c r="G4" s="12" t="s">
        <v>42</v>
      </c>
      <c r="H4" s="12" t="s">
        <v>43</v>
      </c>
      <c r="I4" s="12" t="s">
        <v>44</v>
      </c>
      <c r="J4" s="12" t="s">
        <v>45</v>
      </c>
      <c r="K4" s="12" t="s">
        <v>46</v>
      </c>
      <c r="L4" s="12" t="s">
        <v>47</v>
      </c>
      <c r="M4" s="12" t="s">
        <v>48</v>
      </c>
      <c r="N4" s="12" t="s">
        <v>49</v>
      </c>
    </row>
    <row r="5" customFormat="false" ht="15" hidden="false" customHeight="true" outlineLevel="0" collapsed="false">
      <c r="B5" s="5" t="s">
        <v>50</v>
      </c>
      <c r="C5" s="18" t="n">
        <f aca="false">'Collateral Pool'!$C$5</f>
        <v>100000000</v>
      </c>
      <c r="D5" s="18" t="n">
        <f aca="false">C12</f>
        <v>98918354.8981331</v>
      </c>
      <c r="E5" s="18" t="n">
        <f aca="false">D12</f>
        <v>97841626.1455319</v>
      </c>
      <c r="F5" s="18" t="n">
        <f aca="false">E12</f>
        <v>96769791.3961512</v>
      </c>
      <c r="G5" s="18" t="n">
        <f aca="false">F12</f>
        <v>95702828.4055146</v>
      </c>
      <c r="H5" s="18" t="n">
        <f aca="false">G12</f>
        <v>94640715.0302522</v>
      </c>
      <c r="I5" s="18" t="n">
        <f aca="false">H12</f>
        <v>93583429.2276413</v>
      </c>
      <c r="J5" s="18" t="n">
        <f aca="false">I12</f>
        <v>92530949.0551491</v>
      </c>
      <c r="K5" s="18" t="n">
        <f aca="false">J12</f>
        <v>91483252.6699769</v>
      </c>
      <c r="L5" s="18" t="n">
        <f aca="false">K12</f>
        <v>90440318.3286072</v>
      </c>
      <c r="M5" s="18" t="n">
        <f aca="false">L12</f>
        <v>89402124.3863521</v>
      </c>
      <c r="N5" s="18" t="n">
        <f aca="false">M12</f>
        <v>88368649.2969045</v>
      </c>
    </row>
    <row r="6" customFormat="false" ht="15" hidden="false" customHeight="true" outlineLevel="0" collapsed="false">
      <c r="B6" s="5" t="s">
        <v>51</v>
      </c>
      <c r="C6" s="18" t="n">
        <f aca="false">C5*'Collateral Pool'!$C$6/12</f>
        <v>541666.666666667</v>
      </c>
      <c r="D6" s="18" t="n">
        <f aca="false">D5*'Collateral Pool'!$C$6/12</f>
        <v>535807.755698221</v>
      </c>
      <c r="E6" s="18" t="n">
        <f aca="false">E5*'Collateral Pool'!$C$6/12</f>
        <v>529975.474954964</v>
      </c>
      <c r="F6" s="18" t="n">
        <f aca="false">F5*'Collateral Pool'!$C$6/12</f>
        <v>524169.703395819</v>
      </c>
      <c r="G6" s="18" t="n">
        <f aca="false">G5*'Collateral Pool'!$C$6/12</f>
        <v>518390.320529871</v>
      </c>
      <c r="H6" s="18" t="n">
        <f aca="false">H5*'Collateral Pool'!$C$6/12</f>
        <v>512637.206413866</v>
      </c>
      <c r="I6" s="18" t="n">
        <f aca="false">I5*'Collateral Pool'!$C$6/12</f>
        <v>506910.241649724</v>
      </c>
      <c r="J6" s="18" t="n">
        <f aca="false">J5*'Collateral Pool'!$C$6/12</f>
        <v>501209.307382057</v>
      </c>
      <c r="K6" s="18" t="n">
        <f aca="false">K5*'Collateral Pool'!$C$6/12</f>
        <v>495534.285295708</v>
      </c>
      <c r="L6" s="18" t="n">
        <f aca="false">L5*'Collateral Pool'!$C$6/12</f>
        <v>489885.057613289</v>
      </c>
      <c r="M6" s="18" t="n">
        <f aca="false">M5*'Collateral Pool'!$C$6/12</f>
        <v>484261.507092741</v>
      </c>
      <c r="N6" s="18" t="n">
        <f aca="false">N5*'Collateral Pool'!$C$6/12</f>
        <v>478663.517024899</v>
      </c>
    </row>
    <row r="7" customFormat="false" ht="15" hidden="false" customHeight="true" outlineLevel="0" collapsed="false">
      <c r="B7" s="5" t="s">
        <v>52</v>
      </c>
      <c r="C7" s="18" t="n">
        <f aca="false">MAX(0,'Collateral Pool'!$C$15-C6)</f>
        <v>90401.3568262986</v>
      </c>
      <c r="D7" s="18" t="n">
        <f aca="false">MAX(0,'Collateral Pool'!$C$15-D6)</f>
        <v>96260.2677947442</v>
      </c>
      <c r="E7" s="18" t="n">
        <f aca="false">MAX(0,'Collateral Pool'!$C$15-E6)</f>
        <v>102092.548538001</v>
      </c>
      <c r="F7" s="18" t="n">
        <f aca="false">MAX(0,'Collateral Pool'!$C$15-F6)</f>
        <v>107898.320097146</v>
      </c>
      <c r="G7" s="18" t="n">
        <f aca="false">MAX(0,'Collateral Pool'!$C$15-G6)</f>
        <v>113677.702963095</v>
      </c>
      <c r="H7" s="18" t="n">
        <f aca="false">MAX(0,'Collateral Pool'!$C$15-H6)</f>
        <v>119430.817079099</v>
      </c>
      <c r="I7" s="18" t="n">
        <f aca="false">MAX(0,'Collateral Pool'!$C$15-I6)</f>
        <v>125157.781843242</v>
      </c>
      <c r="J7" s="18" t="n">
        <f aca="false">MAX(0,'Collateral Pool'!$C$15-J6)</f>
        <v>130858.716110908</v>
      </c>
      <c r="K7" s="18" t="n">
        <f aca="false">MAX(0,'Collateral Pool'!$C$15-K6)</f>
        <v>136533.738197257</v>
      </c>
      <c r="L7" s="18" t="n">
        <f aca="false">MAX(0,'Collateral Pool'!$C$15-L6)</f>
        <v>142182.965879677</v>
      </c>
      <c r="M7" s="18" t="n">
        <f aca="false">MAX(0,'Collateral Pool'!$C$15-M6)</f>
        <v>147806.516400225</v>
      </c>
      <c r="N7" s="18" t="n">
        <f aca="false">MAX(0,'Collateral Pool'!$C$15-N6)</f>
        <v>153404.506468066</v>
      </c>
    </row>
    <row r="8" customFormat="false" ht="15" hidden="false" customHeight="true" outlineLevel="0" collapsed="false">
      <c r="B8" s="5" t="s">
        <v>53</v>
      </c>
      <c r="C8" s="18" t="n">
        <f aca="false">C5*'Collateral Pool'!$C$14</f>
        <v>210759.323186027</v>
      </c>
      <c r="D8" s="18" t="n">
        <f aca="false">D5*'Collateral Pool'!$C$14</f>
        <v>208479.655290058</v>
      </c>
      <c r="E8" s="18" t="n">
        <f aca="false">E5*'Collateral Pool'!$C$14</f>
        <v>206210.349058526</v>
      </c>
      <c r="F8" s="18" t="n">
        <f aca="false">F5*'Collateral Pool'!$C$14</f>
        <v>203951.357395059</v>
      </c>
      <c r="G8" s="18" t="n">
        <f aca="false">G5*'Collateral Pool'!$C$14</f>
        <v>201702.633417348</v>
      </c>
      <c r="H8" s="18" t="n">
        <f aca="false">H5*'Collateral Pool'!$C$14</f>
        <v>199464.130456176</v>
      </c>
      <c r="I8" s="18" t="n">
        <f aca="false">I5*'Collateral Pool'!$C$14</f>
        <v>197235.802054452</v>
      </c>
      <c r="J8" s="18" t="n">
        <f aca="false">J5*'Collateral Pool'!$C$14</f>
        <v>195017.60196624</v>
      </c>
      <c r="K8" s="18" t="n">
        <f aca="false">K5*'Collateral Pool'!$C$14</f>
        <v>192809.484155806</v>
      </c>
      <c r="L8" s="18" t="n">
        <f aca="false">L5*'Collateral Pool'!$C$14</f>
        <v>190611.402796661</v>
      </c>
      <c r="M8" s="18" t="n">
        <f aca="false">M5*'Collateral Pool'!$C$14</f>
        <v>188423.312270606</v>
      </c>
      <c r="N8" s="18" t="n">
        <f aca="false">N5*'Collateral Pool'!$C$14</f>
        <v>186245.16716679</v>
      </c>
    </row>
    <row r="9" customFormat="false" ht="15" hidden="false" customHeight="true" outlineLevel="0" collapsed="false">
      <c r="B9" s="5" t="s">
        <v>54</v>
      </c>
      <c r="C9" s="18" t="n">
        <f aca="false">MAX(0,C5-C7-C8)*'Collateral Pool'!$C$13</f>
        <v>780484.421854557</v>
      </c>
      <c r="D9" s="18" t="n">
        <f aca="false">MAX(0,D5-D7-D8)*'Collateral Pool'!$C$13</f>
        <v>771988.829516475</v>
      </c>
      <c r="E9" s="18" t="n">
        <f aca="false">MAX(0,E5-E7-E8)*'Collateral Pool'!$C$13</f>
        <v>763531.851784128</v>
      </c>
      <c r="F9" s="18" t="n">
        <f aca="false">MAX(0,F5-F7-F8)*'Collateral Pool'!$C$13</f>
        <v>755113.31314441</v>
      </c>
      <c r="G9" s="18" t="n">
        <f aca="false">MAX(0,G5-G7-G8)*'Collateral Pool'!$C$13</f>
        <v>746733.038881971</v>
      </c>
      <c r="H9" s="18" t="n">
        <f aca="false">MAX(0,H5-H7-H8)*'Collateral Pool'!$C$13</f>
        <v>738390.855075582</v>
      </c>
      <c r="I9" s="18" t="n">
        <f aca="false">MAX(0,I5-I7-I8)*'Collateral Pool'!$C$13</f>
        <v>730086.588594534</v>
      </c>
      <c r="J9" s="18" t="n">
        <f aca="false">MAX(0,J5-J7-J8)*'Collateral Pool'!$C$13</f>
        <v>721820.067095038</v>
      </c>
      <c r="K9" s="18" t="n">
        <f aca="false">MAX(0,K5-K7-K8)*'Collateral Pool'!$C$13</f>
        <v>713591.119016651</v>
      </c>
      <c r="L9" s="18" t="n">
        <f aca="false">MAX(0,L5-L7-L8)*'Collateral Pool'!$C$13</f>
        <v>705399.573578716</v>
      </c>
      <c r="M9" s="18" t="n">
        <f aca="false">MAX(0,M5-M7-M8)*'Collateral Pool'!$C$13</f>
        <v>697245.260776817</v>
      </c>
      <c r="N9" s="18" t="n">
        <f aca="false">MAX(0,N5-N7-N8)*'Collateral Pool'!$C$13</f>
        <v>689128.011379251</v>
      </c>
    </row>
    <row r="10" customFormat="false" ht="15" hidden="false" customHeight="true" outlineLevel="0" collapsed="false">
      <c r="B10" s="5" t="s">
        <v>55</v>
      </c>
      <c r="C10" s="18" t="n">
        <v>0</v>
      </c>
      <c r="D10" s="18" t="n">
        <v>0</v>
      </c>
      <c r="E10" s="18" t="n">
        <v>0</v>
      </c>
      <c r="F10" s="18" t="n">
        <f aca="false">C8*'Collateral Pool'!$C$10</f>
        <v>94841.6954337122</v>
      </c>
      <c r="G10" s="18" t="n">
        <f aca="false">D8*'Collateral Pool'!$C$10</f>
        <v>93815.844880526</v>
      </c>
      <c r="H10" s="18" t="n">
        <f aca="false">E8*'Collateral Pool'!$C$10</f>
        <v>92794.6570763367</v>
      </c>
      <c r="I10" s="18" t="n">
        <f aca="false">F8*'Collateral Pool'!$C$10</f>
        <v>91778.1108277764</v>
      </c>
      <c r="J10" s="18" t="n">
        <f aca="false">G8*'Collateral Pool'!$C$10</f>
        <v>90766.1850378064</v>
      </c>
      <c r="K10" s="18" t="n">
        <f aca="false">H8*'Collateral Pool'!$C$10</f>
        <v>89758.8587052793</v>
      </c>
      <c r="L10" s="18" t="n">
        <f aca="false">I8*'Collateral Pool'!$C$10</f>
        <v>88756.1109245032</v>
      </c>
      <c r="M10" s="18" t="n">
        <f aca="false">J8*'Collateral Pool'!$C$10</f>
        <v>87757.9208848079</v>
      </c>
      <c r="N10" s="18" t="n">
        <f aca="false">K8*'Collateral Pool'!$C$10</f>
        <v>86764.2678701129</v>
      </c>
    </row>
    <row r="11" customFormat="false" ht="15" hidden="false" customHeight="true" outlineLevel="0" collapsed="false">
      <c r="B11" s="5" t="s">
        <v>56</v>
      </c>
      <c r="C11" s="18" t="n">
        <f aca="false">C8*(1-'Collateral Pool'!$C$10)</f>
        <v>115917.627752315</v>
      </c>
      <c r="D11" s="18" t="n">
        <f aca="false">D8*(1-'Collateral Pool'!$C$10)</f>
        <v>114663.810409532</v>
      </c>
      <c r="E11" s="18" t="n">
        <f aca="false">E8*(1-'Collateral Pool'!$C$10)</f>
        <v>113415.691982189</v>
      </c>
      <c r="F11" s="18" t="n">
        <f aca="false">F8*(1-'Collateral Pool'!$C$10)</f>
        <v>112173.246567282</v>
      </c>
      <c r="G11" s="18" t="n">
        <f aca="false">G8*(1-'Collateral Pool'!$C$10)</f>
        <v>110936.448379541</v>
      </c>
      <c r="H11" s="18" t="n">
        <f aca="false">H8*(1-'Collateral Pool'!$C$10)</f>
        <v>109705.271750897</v>
      </c>
      <c r="I11" s="18" t="n">
        <f aca="false">I8*(1-'Collateral Pool'!$C$10)</f>
        <v>108479.691129948</v>
      </c>
      <c r="J11" s="18" t="n">
        <f aca="false">J8*(1-'Collateral Pool'!$C$10)</f>
        <v>107259.681081432</v>
      </c>
      <c r="K11" s="18" t="n">
        <f aca="false">K8*(1-'Collateral Pool'!$C$10)</f>
        <v>106045.216285694</v>
      </c>
      <c r="L11" s="18" t="n">
        <f aca="false">L8*(1-'Collateral Pool'!$C$10)</f>
        <v>104836.271538164</v>
      </c>
      <c r="M11" s="18" t="n">
        <f aca="false">M8*(1-'Collateral Pool'!$C$10)</f>
        <v>103632.821748833</v>
      </c>
      <c r="N11" s="18" t="n">
        <f aca="false">N8*(1-'Collateral Pool'!$C$10)</f>
        <v>102434.841941734</v>
      </c>
    </row>
    <row r="12" customFormat="false" ht="15" hidden="false" customHeight="true" outlineLevel="0" collapsed="false">
      <c r="B12" s="5" t="s">
        <v>57</v>
      </c>
      <c r="C12" s="18" t="n">
        <f aca="false">C5-C7-C8-C9</f>
        <v>98918354.8981331</v>
      </c>
      <c r="D12" s="18" t="n">
        <f aca="false">D5-D7-D8-D9</f>
        <v>97841626.1455319</v>
      </c>
      <c r="E12" s="18" t="n">
        <f aca="false">E5-E7-E8-E9</f>
        <v>96769791.3961512</v>
      </c>
      <c r="F12" s="18" t="n">
        <f aca="false">F5-F7-F8-F9</f>
        <v>95702828.4055146</v>
      </c>
      <c r="G12" s="18" t="n">
        <f aca="false">G5-G7-G8-G9</f>
        <v>94640715.0302522</v>
      </c>
      <c r="H12" s="18" t="n">
        <f aca="false">H5-H7-H8-H9</f>
        <v>93583429.2276413</v>
      </c>
      <c r="I12" s="18" t="n">
        <f aca="false">I5-I7-I8-I9</f>
        <v>92530949.0551491</v>
      </c>
      <c r="J12" s="18" t="n">
        <f aca="false">J5-J7-J8-J9</f>
        <v>91483252.6699769</v>
      </c>
      <c r="K12" s="18" t="n">
        <f aca="false">K5-K7-K8-K9</f>
        <v>90440318.3286072</v>
      </c>
      <c r="L12" s="18" t="n">
        <f aca="false">L5-L7-L8-L9</f>
        <v>89402124.3863521</v>
      </c>
      <c r="M12" s="18" t="n">
        <f aca="false">M5-M7-M8-M9</f>
        <v>88368649.2969045</v>
      </c>
      <c r="N12" s="18" t="n">
        <f aca="false">N5-N7-N8-N9</f>
        <v>87339871.6118904</v>
      </c>
    </row>
    <row r="14" customFormat="false" ht="15" hidden="false" customHeight="true" outlineLevel="0" collapsed="false">
      <c r="B14" s="3" t="s">
        <v>58</v>
      </c>
      <c r="C14" s="18" t="n">
        <f aca="false">C7+C9+C10</f>
        <v>870885.778680855</v>
      </c>
      <c r="D14" s="18" t="n">
        <f aca="false">D7+D9+D10</f>
        <v>868249.09731122</v>
      </c>
      <c r="E14" s="18" t="n">
        <f aca="false">E7+E9+E10</f>
        <v>865624.400322129</v>
      </c>
      <c r="F14" s="18" t="n">
        <f aca="false">F7+F9+F10</f>
        <v>957853.328675269</v>
      </c>
      <c r="G14" s="18" t="n">
        <f aca="false">G7+G9+G10</f>
        <v>954226.586725591</v>
      </c>
      <c r="H14" s="18" t="n">
        <f aca="false">H7+H9+H10</f>
        <v>950616.329231018</v>
      </c>
      <c r="I14" s="18" t="n">
        <f aca="false">I7+I9+I10</f>
        <v>947022.481265552</v>
      </c>
      <c r="J14" s="18" t="n">
        <f aca="false">J7+J9+J10</f>
        <v>943444.968243752</v>
      </c>
      <c r="K14" s="18" t="n">
        <f aca="false">K7+K9+K10</f>
        <v>939883.715919187</v>
      </c>
      <c r="L14" s="18" t="n">
        <f aca="false">L7+L9+L10</f>
        <v>936338.650382896</v>
      </c>
      <c r="M14" s="18" t="n">
        <f aca="false">M7+M9+M10</f>
        <v>932809.69806185</v>
      </c>
      <c r="N14" s="18" t="n">
        <f aca="false">N7+N9+N10</f>
        <v>929296.78571743</v>
      </c>
    </row>
    <row r="15" customFormat="false" ht="15" hidden="false" customHeight="true" outlineLevel="0" collapsed="false">
      <c r="B15" s="3" t="s">
        <v>59</v>
      </c>
      <c r="C15" s="18" t="n">
        <f aca="false">C11</f>
        <v>115917.627752315</v>
      </c>
      <c r="D15" s="18" t="n">
        <f aca="false">D11</f>
        <v>114663.810409532</v>
      </c>
      <c r="E15" s="18" t="n">
        <f aca="false">E11</f>
        <v>113415.691982189</v>
      </c>
      <c r="F15" s="18" t="n">
        <f aca="false">F11</f>
        <v>112173.246567282</v>
      </c>
      <c r="G15" s="18" t="n">
        <f aca="false">G11</f>
        <v>110936.448379541</v>
      </c>
      <c r="H15" s="18" t="n">
        <f aca="false">H11</f>
        <v>109705.271750897</v>
      </c>
      <c r="I15" s="18" t="n">
        <f aca="false">I11</f>
        <v>108479.691129948</v>
      </c>
      <c r="J15" s="18" t="n">
        <f aca="false">J11</f>
        <v>107259.681081432</v>
      </c>
      <c r="K15" s="18" t="n">
        <f aca="false">K11</f>
        <v>106045.216285694</v>
      </c>
      <c r="L15" s="18" t="n">
        <f aca="false">L11</f>
        <v>104836.271538164</v>
      </c>
      <c r="M15" s="18" t="n">
        <f aca="false">M11</f>
        <v>103632.821748833</v>
      </c>
      <c r="N15" s="18" t="n">
        <f aca="false">N11</f>
        <v>102434.841941734</v>
      </c>
    </row>
    <row r="16" customFormat="false" ht="15" hidden="false" customHeight="true" outlineLevel="0" collapsed="false">
      <c r="B16" s="10" t="s">
        <v>60</v>
      </c>
    </row>
    <row r="19" customFormat="false" ht="15" hidden="false" customHeight="true" outlineLevel="0" collapsed="false">
      <c r="B19" s="17" t="s">
        <v>29</v>
      </c>
    </row>
    <row r="20" customFormat="false" ht="15" hidden="false" customHeight="true" outlineLevel="0" collapsed="false">
      <c r="B20" s="5" t="s">
        <v>61</v>
      </c>
      <c r="C20" s="18" t="n">
        <f aca="false">Waterfall!C5</f>
        <v>80000000</v>
      </c>
      <c r="D20" s="18" t="n">
        <f aca="false">C23</f>
        <v>79129114.2213191</v>
      </c>
      <c r="E20" s="18" t="n">
        <f aca="false">D23</f>
        <v>78260865.1240079</v>
      </c>
      <c r="F20" s="18" t="n">
        <f aca="false">E23</f>
        <v>77395240.7236858</v>
      </c>
      <c r="G20" s="18" t="n">
        <f aca="false">F23</f>
        <v>76437387.3950105</v>
      </c>
      <c r="H20" s="18" t="n">
        <f aca="false">G23</f>
        <v>75483160.8082849</v>
      </c>
      <c r="I20" s="18" t="n">
        <f aca="false">H23</f>
        <v>74532544.4790539</v>
      </c>
      <c r="J20" s="18" t="n">
        <f aca="false">I23</f>
        <v>73585521.9977884</v>
      </c>
      <c r="K20" s="18" t="n">
        <f aca="false">J23</f>
        <v>72642077.0295446</v>
      </c>
      <c r="L20" s="18" t="n">
        <f aca="false">K23</f>
        <v>71702193.3136254</v>
      </c>
      <c r="M20" s="18" t="n">
        <f aca="false">L23</f>
        <v>70765854.6632426</v>
      </c>
      <c r="N20" s="18" t="n">
        <f aca="false">M23</f>
        <v>69833044.9651807</v>
      </c>
    </row>
    <row r="21" customFormat="false" ht="15" hidden="false" customHeight="true" outlineLevel="0" collapsed="false">
      <c r="B21" s="5" t="s">
        <v>62</v>
      </c>
      <c r="C21" s="18" t="n">
        <f aca="false">MAX(0,MIN(C14,C20))</f>
        <v>870885.778680855</v>
      </c>
      <c r="D21" s="18" t="n">
        <f aca="false">MAX(0,MIN(D14,D20))</f>
        <v>868249.09731122</v>
      </c>
      <c r="E21" s="18" t="n">
        <f aca="false">MAX(0,MIN(E14,E20))</f>
        <v>865624.400322129</v>
      </c>
      <c r="F21" s="18" t="n">
        <f aca="false">MAX(0,MIN(F14,F20))</f>
        <v>957853.328675269</v>
      </c>
      <c r="G21" s="18" t="n">
        <f aca="false">MAX(0,MIN(G14,G20))</f>
        <v>954226.586725591</v>
      </c>
      <c r="H21" s="18" t="n">
        <f aca="false">MAX(0,MIN(H14,H20))</f>
        <v>950616.329231018</v>
      </c>
      <c r="I21" s="18" t="n">
        <f aca="false">MAX(0,MIN(I14,I20))</f>
        <v>947022.481265552</v>
      </c>
      <c r="J21" s="18" t="n">
        <f aca="false">MAX(0,MIN(J14,J20))</f>
        <v>943444.968243752</v>
      </c>
      <c r="K21" s="18" t="n">
        <f aca="false">MAX(0,MIN(K14,K20))</f>
        <v>939883.715919187</v>
      </c>
      <c r="L21" s="18" t="n">
        <f aca="false">MAX(0,MIN(L14,L20))</f>
        <v>936338.650382896</v>
      </c>
      <c r="M21" s="18" t="n">
        <f aca="false">MAX(0,MIN(M14,M20))</f>
        <v>932809.69806185</v>
      </c>
      <c r="N21" s="18" t="n">
        <f aca="false">MAX(0,MIN(N14,N20))</f>
        <v>929296.78571743</v>
      </c>
    </row>
    <row r="22" customFormat="false" ht="15" hidden="false" customHeight="true" outlineLevel="0" collapsed="false">
      <c r="B22" s="5" t="s">
        <v>63</v>
      </c>
      <c r="C22" s="18" t="n">
        <f aca="false">MAX(0,MIN(C15-C42-C37-C32-C27,(C20-C21)))</f>
        <v>0</v>
      </c>
      <c r="D22" s="18" t="n">
        <f aca="false">MAX(0,MIN(D15-D42-D37-D32-D27,(D20-D21)))</f>
        <v>0</v>
      </c>
      <c r="E22" s="18" t="n">
        <f aca="false">MAX(0,MIN(E15-E42-E37-E32-E27,(E20-E21)))</f>
        <v>0</v>
      </c>
      <c r="F22" s="18" t="n">
        <f aca="false">MAX(0,MIN(F15-F42-F37-F32-F27,(F20-F21)))</f>
        <v>0</v>
      </c>
      <c r="G22" s="18" t="n">
        <f aca="false">MAX(0,MIN(G15-G42-G37-G32-G27,(G20-G21)))</f>
        <v>0</v>
      </c>
      <c r="H22" s="18" t="n">
        <f aca="false">MAX(0,MIN(H15-H42-H37-H32-H27,(H20-H21)))</f>
        <v>0</v>
      </c>
      <c r="I22" s="18" t="n">
        <f aca="false">MAX(0,MIN(I15-I42-I37-I32-I27,(I20-I21)))</f>
        <v>0</v>
      </c>
      <c r="J22" s="18" t="n">
        <f aca="false">MAX(0,MIN(J15-J42-J37-J32-J27,(J20-J21)))</f>
        <v>0</v>
      </c>
      <c r="K22" s="18" t="n">
        <f aca="false">MAX(0,MIN(K15-K42-K37-K32-K27,(K20-K21)))</f>
        <v>0</v>
      </c>
      <c r="L22" s="18" t="n">
        <f aca="false">MAX(0,MIN(L15-L42-L37-L32-L27,(L20-L21)))</f>
        <v>0</v>
      </c>
      <c r="M22" s="18" t="n">
        <f aca="false">MAX(0,MIN(M15-M42-M37-M32-M27,(M20-M21)))</f>
        <v>0</v>
      </c>
      <c r="N22" s="18" t="n">
        <f aca="false">MAX(0,MIN(N15-N42-N37-N32-N27,(N20-N21)))</f>
        <v>0</v>
      </c>
    </row>
    <row r="23" customFormat="false" ht="15" hidden="false" customHeight="true" outlineLevel="0" collapsed="false">
      <c r="B23" s="5" t="s">
        <v>64</v>
      </c>
      <c r="C23" s="18" t="n">
        <f aca="false">C20-C21-C22</f>
        <v>79129114.2213191</v>
      </c>
      <c r="D23" s="18" t="n">
        <f aca="false">D20-D21-D22</f>
        <v>78260865.1240079</v>
      </c>
      <c r="E23" s="18" t="n">
        <f aca="false">E20-E21-E22</f>
        <v>77395240.7236858</v>
      </c>
      <c r="F23" s="18" t="n">
        <f aca="false">F20-F21-F22</f>
        <v>76437387.3950105</v>
      </c>
      <c r="G23" s="18" t="n">
        <f aca="false">G20-G21-G22</f>
        <v>75483160.8082849</v>
      </c>
      <c r="H23" s="18" t="n">
        <f aca="false">H20-H21-H22</f>
        <v>74532544.4790539</v>
      </c>
      <c r="I23" s="18" t="n">
        <f aca="false">I20-I21-I22</f>
        <v>73585521.9977884</v>
      </c>
      <c r="J23" s="18" t="n">
        <f aca="false">J20-J21-J22</f>
        <v>72642077.0295446</v>
      </c>
      <c r="K23" s="18" t="n">
        <f aca="false">K20-K21-K22</f>
        <v>71702193.3136254</v>
      </c>
      <c r="L23" s="18" t="n">
        <f aca="false">L20-L21-L22</f>
        <v>70765854.6632426</v>
      </c>
      <c r="M23" s="18" t="n">
        <f aca="false">M20-M21-M22</f>
        <v>69833044.9651807</v>
      </c>
      <c r="N23" s="18" t="n">
        <f aca="false">N20-N21-N22</f>
        <v>68903748.1794633</v>
      </c>
    </row>
    <row r="24" customFormat="false" ht="15" hidden="false" customHeight="true" outlineLevel="0" collapsed="false">
      <c r="B24" s="17" t="s">
        <v>30</v>
      </c>
    </row>
    <row r="25" customFormat="false" ht="15" hidden="false" customHeight="true" outlineLevel="0" collapsed="false">
      <c r="B25" s="5" t="s">
        <v>61</v>
      </c>
      <c r="C25" s="18" t="n">
        <f aca="false">Waterfall!C6</f>
        <v>10000000</v>
      </c>
      <c r="D25" s="18" t="n">
        <f aca="false">C28</f>
        <v>10000000</v>
      </c>
      <c r="E25" s="18" t="n">
        <f aca="false">D28</f>
        <v>10000000</v>
      </c>
      <c r="F25" s="18" t="n">
        <f aca="false">E28</f>
        <v>10000000</v>
      </c>
      <c r="G25" s="18" t="n">
        <f aca="false">F28</f>
        <v>10000000</v>
      </c>
      <c r="H25" s="18" t="n">
        <f aca="false">G28</f>
        <v>10000000</v>
      </c>
      <c r="I25" s="18" t="n">
        <f aca="false">H28</f>
        <v>10000000</v>
      </c>
      <c r="J25" s="18" t="n">
        <f aca="false">I28</f>
        <v>10000000</v>
      </c>
      <c r="K25" s="18" t="n">
        <f aca="false">J28</f>
        <v>10000000</v>
      </c>
      <c r="L25" s="18" t="n">
        <f aca="false">K28</f>
        <v>10000000</v>
      </c>
      <c r="M25" s="18" t="n">
        <f aca="false">L28</f>
        <v>10000000</v>
      </c>
      <c r="N25" s="18" t="n">
        <f aca="false">M28</f>
        <v>10000000</v>
      </c>
    </row>
    <row r="26" customFormat="false" ht="15" hidden="false" customHeight="true" outlineLevel="0" collapsed="false">
      <c r="B26" s="5" t="s">
        <v>62</v>
      </c>
      <c r="C26" s="18" t="n">
        <f aca="false">MAX(0,MIN(C14-C21,C25))</f>
        <v>0</v>
      </c>
      <c r="D26" s="18" t="n">
        <f aca="false">MAX(0,MIN(D14-D21,D25))</f>
        <v>0</v>
      </c>
      <c r="E26" s="18" t="n">
        <f aca="false">MAX(0,MIN(E14-E21,E25))</f>
        <v>0</v>
      </c>
      <c r="F26" s="18" t="n">
        <f aca="false">MAX(0,MIN(F14-F21,F25))</f>
        <v>0</v>
      </c>
      <c r="G26" s="18" t="n">
        <f aca="false">MAX(0,MIN(G14-G21,G25))</f>
        <v>0</v>
      </c>
      <c r="H26" s="18" t="n">
        <f aca="false">MAX(0,MIN(H14-H21,H25))</f>
        <v>0</v>
      </c>
      <c r="I26" s="18" t="n">
        <f aca="false">MAX(0,MIN(I14-I21,I25))</f>
        <v>0</v>
      </c>
      <c r="J26" s="18" t="n">
        <f aca="false">MAX(0,MIN(J14-J21,J25))</f>
        <v>0</v>
      </c>
      <c r="K26" s="18" t="n">
        <f aca="false">MAX(0,MIN(K14-K21,K25))</f>
        <v>0</v>
      </c>
      <c r="L26" s="18" t="n">
        <f aca="false">MAX(0,MIN(L14-L21,L25))</f>
        <v>0</v>
      </c>
      <c r="M26" s="18" t="n">
        <f aca="false">MAX(0,MIN(M14-M21,M25))</f>
        <v>0</v>
      </c>
      <c r="N26" s="18" t="n">
        <f aca="false">MAX(0,MIN(N14-N21,N25))</f>
        <v>0</v>
      </c>
    </row>
    <row r="27" customFormat="false" ht="15" hidden="false" customHeight="true" outlineLevel="0" collapsed="false">
      <c r="B27" s="5" t="s">
        <v>63</v>
      </c>
      <c r="C27" s="18" t="n">
        <f aca="false">MAX(0,MIN(C15-C42-C37-C32,(C25-C26)))</f>
        <v>0</v>
      </c>
      <c r="D27" s="18" t="n">
        <f aca="false">MAX(0,MIN(D15-D42-D37-D32,(D25-D26)))</f>
        <v>0</v>
      </c>
      <c r="E27" s="18" t="n">
        <f aca="false">MAX(0,MIN(E15-E42-E37-E32,(E25-E26)))</f>
        <v>0</v>
      </c>
      <c r="F27" s="18" t="n">
        <f aca="false">MAX(0,MIN(F15-F42-F37-F32,(F25-F26)))</f>
        <v>0</v>
      </c>
      <c r="G27" s="18" t="n">
        <f aca="false">MAX(0,MIN(G15-G42-G37-G32,(G25-G26)))</f>
        <v>0</v>
      </c>
      <c r="H27" s="18" t="n">
        <f aca="false">MAX(0,MIN(H15-H42-H37-H32,(H25-H26)))</f>
        <v>0</v>
      </c>
      <c r="I27" s="18" t="n">
        <f aca="false">MAX(0,MIN(I15-I42-I37-I32,(I25-I26)))</f>
        <v>0</v>
      </c>
      <c r="J27" s="18" t="n">
        <f aca="false">MAX(0,MIN(J15-J42-J37-J32,(J25-J26)))</f>
        <v>0</v>
      </c>
      <c r="K27" s="18" t="n">
        <f aca="false">MAX(0,MIN(K15-K42-K37-K32,(K25-K26)))</f>
        <v>0</v>
      </c>
      <c r="L27" s="18" t="n">
        <f aca="false">MAX(0,MIN(L15-L42-L37-L32,(L25-L26)))</f>
        <v>0</v>
      </c>
      <c r="M27" s="18" t="n">
        <f aca="false">MAX(0,MIN(M15-M42-M37-M32,(M25-M26)))</f>
        <v>0</v>
      </c>
      <c r="N27" s="18" t="n">
        <f aca="false">MAX(0,MIN(N15-N42-N37-N32,(N25-N26)))</f>
        <v>0</v>
      </c>
    </row>
    <row r="28" customFormat="false" ht="15" hidden="false" customHeight="true" outlineLevel="0" collapsed="false">
      <c r="B28" s="5" t="s">
        <v>64</v>
      </c>
      <c r="C28" s="18" t="n">
        <f aca="false">C25-C26-C27</f>
        <v>10000000</v>
      </c>
      <c r="D28" s="18" t="n">
        <f aca="false">D25-D26-D27</f>
        <v>10000000</v>
      </c>
      <c r="E28" s="18" t="n">
        <f aca="false">E25-E26-E27</f>
        <v>10000000</v>
      </c>
      <c r="F28" s="18" t="n">
        <f aca="false">F25-F26-F27</f>
        <v>10000000</v>
      </c>
      <c r="G28" s="18" t="n">
        <f aca="false">G25-G26-G27</f>
        <v>10000000</v>
      </c>
      <c r="H28" s="18" t="n">
        <f aca="false">H25-H26-H27</f>
        <v>10000000</v>
      </c>
      <c r="I28" s="18" t="n">
        <f aca="false">I25-I26-I27</f>
        <v>10000000</v>
      </c>
      <c r="J28" s="18" t="n">
        <f aca="false">J25-J26-J27</f>
        <v>10000000</v>
      </c>
      <c r="K28" s="18" t="n">
        <f aca="false">K25-K26-K27</f>
        <v>10000000</v>
      </c>
      <c r="L28" s="18" t="n">
        <f aca="false">L25-L26-L27</f>
        <v>10000000</v>
      </c>
      <c r="M28" s="18" t="n">
        <f aca="false">M25-M26-M27</f>
        <v>10000000</v>
      </c>
      <c r="N28" s="18" t="n">
        <f aca="false">N25-N26-N27</f>
        <v>10000000</v>
      </c>
    </row>
    <row r="29" customFormat="false" ht="15" hidden="false" customHeight="true" outlineLevel="0" collapsed="false">
      <c r="B29" s="17" t="s">
        <v>31</v>
      </c>
    </row>
    <row r="30" customFormat="false" ht="15" hidden="false" customHeight="true" outlineLevel="0" collapsed="false">
      <c r="B30" s="5" t="s">
        <v>61</v>
      </c>
      <c r="C30" s="18" t="n">
        <f aca="false">Waterfall!C7</f>
        <v>5000000</v>
      </c>
      <c r="D30" s="18" t="n">
        <f aca="false">C33</f>
        <v>5000000</v>
      </c>
      <c r="E30" s="18" t="n">
        <f aca="false">D33</f>
        <v>5000000</v>
      </c>
      <c r="F30" s="18" t="n">
        <f aca="false">E33</f>
        <v>5000000</v>
      </c>
      <c r="G30" s="18" t="n">
        <f aca="false">F33</f>
        <v>5000000</v>
      </c>
      <c r="H30" s="18" t="n">
        <f aca="false">G33</f>
        <v>5000000</v>
      </c>
      <c r="I30" s="18" t="n">
        <f aca="false">H33</f>
        <v>5000000</v>
      </c>
      <c r="J30" s="18" t="n">
        <f aca="false">I33</f>
        <v>5000000</v>
      </c>
      <c r="K30" s="18" t="n">
        <f aca="false">J33</f>
        <v>5000000</v>
      </c>
      <c r="L30" s="18" t="n">
        <f aca="false">K33</f>
        <v>5000000</v>
      </c>
      <c r="M30" s="18" t="n">
        <f aca="false">L33</f>
        <v>5000000</v>
      </c>
      <c r="N30" s="18" t="n">
        <f aca="false">M33</f>
        <v>5000000</v>
      </c>
    </row>
    <row r="31" customFormat="false" ht="15" hidden="false" customHeight="true" outlineLevel="0" collapsed="false">
      <c r="B31" s="5" t="s">
        <v>62</v>
      </c>
      <c r="C31" s="18" t="n">
        <f aca="false">MAX(0,MIN(C14-C21-C26,C30))</f>
        <v>0</v>
      </c>
      <c r="D31" s="18" t="n">
        <f aca="false">MAX(0,MIN(D14-D21-D26,D30))</f>
        <v>0</v>
      </c>
      <c r="E31" s="18" t="n">
        <f aca="false">MAX(0,MIN(E14-E21-E26,E30))</f>
        <v>0</v>
      </c>
      <c r="F31" s="18" t="n">
        <f aca="false">MAX(0,MIN(F14-F21-F26,F30))</f>
        <v>0</v>
      </c>
      <c r="G31" s="18" t="n">
        <f aca="false">MAX(0,MIN(G14-G21-G26,G30))</f>
        <v>0</v>
      </c>
      <c r="H31" s="18" t="n">
        <f aca="false">MAX(0,MIN(H14-H21-H26,H30))</f>
        <v>0</v>
      </c>
      <c r="I31" s="18" t="n">
        <f aca="false">MAX(0,MIN(I14-I21-I26,I30))</f>
        <v>0</v>
      </c>
      <c r="J31" s="18" t="n">
        <f aca="false">MAX(0,MIN(J14-J21-J26,J30))</f>
        <v>0</v>
      </c>
      <c r="K31" s="18" t="n">
        <f aca="false">MAX(0,MIN(K14-K21-K26,K30))</f>
        <v>0</v>
      </c>
      <c r="L31" s="18" t="n">
        <f aca="false">MAX(0,MIN(L14-L21-L26,L30))</f>
        <v>0</v>
      </c>
      <c r="M31" s="18" t="n">
        <f aca="false">MAX(0,MIN(M14-M21-M26,M30))</f>
        <v>0</v>
      </c>
      <c r="N31" s="18" t="n">
        <f aca="false">MAX(0,MIN(N14-N21-N26,N30))</f>
        <v>0</v>
      </c>
    </row>
    <row r="32" customFormat="false" ht="15" hidden="false" customHeight="true" outlineLevel="0" collapsed="false">
      <c r="B32" s="5" t="s">
        <v>63</v>
      </c>
      <c r="C32" s="18" t="n">
        <f aca="false">MAX(0,MIN(C15-C42-C37,(C30-C31)))</f>
        <v>0</v>
      </c>
      <c r="D32" s="18" t="n">
        <f aca="false">MAX(0,MIN(D15-D42-D37,(D30-D31)))</f>
        <v>0</v>
      </c>
      <c r="E32" s="18" t="n">
        <f aca="false">MAX(0,MIN(E15-E42-E37,(E30-E31)))</f>
        <v>0</v>
      </c>
      <c r="F32" s="18" t="n">
        <f aca="false">MAX(0,MIN(F15-F42-F37,(F30-F31)))</f>
        <v>0</v>
      </c>
      <c r="G32" s="18" t="n">
        <f aca="false">MAX(0,MIN(G15-G42-G37,(G30-G31)))</f>
        <v>0</v>
      </c>
      <c r="H32" s="18" t="n">
        <f aca="false">MAX(0,MIN(H15-H42-H37,(H30-H31)))</f>
        <v>0</v>
      </c>
      <c r="I32" s="18" t="n">
        <f aca="false">MAX(0,MIN(I15-I42-I37,(I30-I31)))</f>
        <v>0</v>
      </c>
      <c r="J32" s="18" t="n">
        <f aca="false">MAX(0,MIN(J15-J42-J37,(J30-J31)))</f>
        <v>0</v>
      </c>
      <c r="K32" s="18" t="n">
        <f aca="false">MAX(0,MIN(K15-K42-K37,(K30-K31)))</f>
        <v>0</v>
      </c>
      <c r="L32" s="18" t="n">
        <f aca="false">MAX(0,MIN(L15-L42-L37,(L30-L31)))</f>
        <v>0</v>
      </c>
      <c r="M32" s="18" t="n">
        <f aca="false">MAX(0,MIN(M15-M42-M37,(M30-M31)))</f>
        <v>0</v>
      </c>
      <c r="N32" s="18" t="n">
        <f aca="false">MAX(0,MIN(N15-N42-N37,(N30-N31)))</f>
        <v>0</v>
      </c>
    </row>
    <row r="33" customFormat="false" ht="15" hidden="false" customHeight="true" outlineLevel="0" collapsed="false">
      <c r="B33" s="5" t="s">
        <v>64</v>
      </c>
      <c r="C33" s="18" t="n">
        <f aca="false">C30-C31-C32</f>
        <v>5000000</v>
      </c>
      <c r="D33" s="18" t="n">
        <f aca="false">D30-D31-D32</f>
        <v>5000000</v>
      </c>
      <c r="E33" s="18" t="n">
        <f aca="false">E30-E31-E32</f>
        <v>5000000</v>
      </c>
      <c r="F33" s="18" t="n">
        <f aca="false">F30-F31-F32</f>
        <v>5000000</v>
      </c>
      <c r="G33" s="18" t="n">
        <f aca="false">G30-G31-G32</f>
        <v>5000000</v>
      </c>
      <c r="H33" s="18" t="n">
        <f aca="false">H30-H31-H32</f>
        <v>5000000</v>
      </c>
      <c r="I33" s="18" t="n">
        <f aca="false">I30-I31-I32</f>
        <v>5000000</v>
      </c>
      <c r="J33" s="18" t="n">
        <f aca="false">J30-J31-J32</f>
        <v>5000000</v>
      </c>
      <c r="K33" s="18" t="n">
        <f aca="false">K30-K31-K32</f>
        <v>5000000</v>
      </c>
      <c r="L33" s="18" t="n">
        <f aca="false">L30-L31-L32</f>
        <v>5000000</v>
      </c>
      <c r="M33" s="18" t="n">
        <f aca="false">M30-M31-M32</f>
        <v>5000000</v>
      </c>
      <c r="N33" s="18" t="n">
        <f aca="false">N30-N31-N32</f>
        <v>5000000</v>
      </c>
    </row>
    <row r="34" customFormat="false" ht="15" hidden="false" customHeight="true" outlineLevel="0" collapsed="false">
      <c r="B34" s="17" t="s">
        <v>32</v>
      </c>
    </row>
    <row r="35" customFormat="false" ht="15" hidden="false" customHeight="true" outlineLevel="0" collapsed="false">
      <c r="B35" s="5" t="s">
        <v>61</v>
      </c>
      <c r="C35" s="18" t="n">
        <f aca="false">Waterfall!C8</f>
        <v>3000000</v>
      </c>
      <c r="D35" s="18" t="n">
        <f aca="false">C38</f>
        <v>3000000</v>
      </c>
      <c r="E35" s="18" t="n">
        <f aca="false">D38</f>
        <v>3000000</v>
      </c>
      <c r="F35" s="18" t="n">
        <f aca="false">E38</f>
        <v>3000000</v>
      </c>
      <c r="G35" s="18" t="n">
        <f aca="false">F38</f>
        <v>3000000</v>
      </c>
      <c r="H35" s="18" t="n">
        <f aca="false">G38</f>
        <v>3000000</v>
      </c>
      <c r="I35" s="18" t="n">
        <f aca="false">H38</f>
        <v>3000000</v>
      </c>
      <c r="J35" s="18" t="n">
        <f aca="false">I38</f>
        <v>3000000</v>
      </c>
      <c r="K35" s="18" t="n">
        <f aca="false">J38</f>
        <v>3000000</v>
      </c>
      <c r="L35" s="18" t="n">
        <f aca="false">K38</f>
        <v>3000000</v>
      </c>
      <c r="M35" s="18" t="n">
        <f aca="false">L38</f>
        <v>3000000</v>
      </c>
      <c r="N35" s="18" t="n">
        <f aca="false">M38</f>
        <v>3000000</v>
      </c>
    </row>
    <row r="36" customFormat="false" ht="15" hidden="false" customHeight="true" outlineLevel="0" collapsed="false">
      <c r="B36" s="5" t="s">
        <v>62</v>
      </c>
      <c r="C36" s="18" t="n">
        <f aca="false">MAX(0,MIN(C14-C21-C26-C31,C35))</f>
        <v>0</v>
      </c>
      <c r="D36" s="18" t="n">
        <f aca="false">MAX(0,MIN(D14-D21-D26-D31,D35))</f>
        <v>0</v>
      </c>
      <c r="E36" s="18" t="n">
        <f aca="false">MAX(0,MIN(E14-E21-E26-E31,E35))</f>
        <v>0</v>
      </c>
      <c r="F36" s="18" t="n">
        <f aca="false">MAX(0,MIN(F14-F21-F26-F31,F35))</f>
        <v>0</v>
      </c>
      <c r="G36" s="18" t="n">
        <f aca="false">MAX(0,MIN(G14-G21-G26-G31,G35))</f>
        <v>0</v>
      </c>
      <c r="H36" s="18" t="n">
        <f aca="false">MAX(0,MIN(H14-H21-H26-H31,H35))</f>
        <v>0</v>
      </c>
      <c r="I36" s="18" t="n">
        <f aca="false">MAX(0,MIN(I14-I21-I26-I31,I35))</f>
        <v>0</v>
      </c>
      <c r="J36" s="18" t="n">
        <f aca="false">MAX(0,MIN(J14-J21-J26-J31,J35))</f>
        <v>0</v>
      </c>
      <c r="K36" s="18" t="n">
        <f aca="false">MAX(0,MIN(K14-K21-K26-K31,K35))</f>
        <v>0</v>
      </c>
      <c r="L36" s="18" t="n">
        <f aca="false">MAX(0,MIN(L14-L21-L26-L31,L35))</f>
        <v>0</v>
      </c>
      <c r="M36" s="18" t="n">
        <f aca="false">MAX(0,MIN(M14-M21-M26-M31,M35))</f>
        <v>0</v>
      </c>
      <c r="N36" s="18" t="n">
        <f aca="false">MAX(0,MIN(N14-N21-N26-N31,N35))</f>
        <v>0</v>
      </c>
    </row>
    <row r="37" customFormat="false" ht="15" hidden="false" customHeight="true" outlineLevel="0" collapsed="false">
      <c r="B37" s="5" t="s">
        <v>63</v>
      </c>
      <c r="C37" s="18" t="n">
        <f aca="false">MAX(0,MIN(C15-C42,(C35-C36)))</f>
        <v>0</v>
      </c>
      <c r="D37" s="18" t="n">
        <f aca="false">MAX(0,MIN(D15-D42,(D35-D36)))</f>
        <v>0</v>
      </c>
      <c r="E37" s="18" t="n">
        <f aca="false">MAX(0,MIN(E15-E42,(E35-E36)))</f>
        <v>0</v>
      </c>
      <c r="F37" s="18" t="n">
        <f aca="false">MAX(0,MIN(F15-F42,(F35-F36)))</f>
        <v>0</v>
      </c>
      <c r="G37" s="18" t="n">
        <f aca="false">MAX(0,MIN(G15-G42,(G35-G36)))</f>
        <v>0</v>
      </c>
      <c r="H37" s="18" t="n">
        <f aca="false">MAX(0,MIN(H15-H42,(H35-H36)))</f>
        <v>0</v>
      </c>
      <c r="I37" s="18" t="n">
        <f aca="false">MAX(0,MIN(I15-I42,(I35-I36)))</f>
        <v>0</v>
      </c>
      <c r="J37" s="18" t="n">
        <f aca="false">MAX(0,MIN(J15-J42,(J35-J36)))</f>
        <v>0</v>
      </c>
      <c r="K37" s="18" t="n">
        <f aca="false">MAX(0,MIN(K15-K42,(K35-K36)))</f>
        <v>0</v>
      </c>
      <c r="L37" s="18" t="n">
        <f aca="false">MAX(0,MIN(L15-L42,(L35-L36)))</f>
        <v>0</v>
      </c>
      <c r="M37" s="18" t="n">
        <f aca="false">MAX(0,MIN(M15-M42,(M35-M36)))</f>
        <v>0</v>
      </c>
      <c r="N37" s="18" t="n">
        <f aca="false">MAX(0,MIN(N15-N42,(N35-N36)))</f>
        <v>0</v>
      </c>
    </row>
    <row r="38" customFormat="false" ht="15" hidden="false" customHeight="true" outlineLevel="0" collapsed="false">
      <c r="B38" s="5" t="s">
        <v>64</v>
      </c>
      <c r="C38" s="18" t="n">
        <f aca="false">C35-C36-C37</f>
        <v>3000000</v>
      </c>
      <c r="D38" s="18" t="n">
        <f aca="false">D35-D36-D37</f>
        <v>3000000</v>
      </c>
      <c r="E38" s="18" t="n">
        <f aca="false">E35-E36-E37</f>
        <v>3000000</v>
      </c>
      <c r="F38" s="18" t="n">
        <f aca="false">F35-F36-F37</f>
        <v>3000000</v>
      </c>
      <c r="G38" s="18" t="n">
        <f aca="false">G35-G36-G37</f>
        <v>3000000</v>
      </c>
      <c r="H38" s="18" t="n">
        <f aca="false">H35-H36-H37</f>
        <v>3000000</v>
      </c>
      <c r="I38" s="18" t="n">
        <f aca="false">I35-I36-I37</f>
        <v>3000000</v>
      </c>
      <c r="J38" s="18" t="n">
        <f aca="false">J35-J36-J37</f>
        <v>3000000</v>
      </c>
      <c r="K38" s="18" t="n">
        <f aca="false">K35-K36-K37</f>
        <v>3000000</v>
      </c>
      <c r="L38" s="18" t="n">
        <f aca="false">L35-L36-L37</f>
        <v>3000000</v>
      </c>
      <c r="M38" s="18" t="n">
        <f aca="false">M35-M36-M37</f>
        <v>3000000</v>
      </c>
      <c r="N38" s="18" t="n">
        <f aca="false">N35-N36-N37</f>
        <v>3000000</v>
      </c>
    </row>
    <row r="39" customFormat="false" ht="15" hidden="false" customHeight="true" outlineLevel="0" collapsed="false">
      <c r="B39" s="17" t="s">
        <v>33</v>
      </c>
    </row>
    <row r="40" customFormat="false" ht="15" hidden="false" customHeight="true" outlineLevel="0" collapsed="false">
      <c r="B40" s="5" t="s">
        <v>61</v>
      </c>
      <c r="C40" s="18" t="n">
        <f aca="false">Waterfall!C9</f>
        <v>2000000</v>
      </c>
      <c r="D40" s="18" t="n">
        <f aca="false">C43</f>
        <v>1884082.37224769</v>
      </c>
      <c r="E40" s="18" t="n">
        <f aca="false">D43</f>
        <v>1769418.56183815</v>
      </c>
      <c r="F40" s="18" t="n">
        <f aca="false">E43</f>
        <v>1656002.86985596</v>
      </c>
      <c r="G40" s="18" t="n">
        <f aca="false">F43</f>
        <v>1543829.62328868</v>
      </c>
      <c r="H40" s="18" t="n">
        <f aca="false">G43</f>
        <v>1432893.17490914</v>
      </c>
      <c r="I40" s="18" t="n">
        <f aca="false">H43</f>
        <v>1323187.90315824</v>
      </c>
      <c r="J40" s="18" t="n">
        <f aca="false">I43</f>
        <v>1214708.2120283</v>
      </c>
      <c r="K40" s="18" t="n">
        <f aca="false">J43</f>
        <v>1107448.53094686</v>
      </c>
      <c r="L40" s="18" t="n">
        <f aca="false">K43</f>
        <v>1001403.31466117</v>
      </c>
      <c r="M40" s="18" t="n">
        <f aca="false">L43</f>
        <v>896567.043123006</v>
      </c>
      <c r="N40" s="18" t="n">
        <f aca="false">M43</f>
        <v>792934.221374173</v>
      </c>
    </row>
    <row r="41" customFormat="false" ht="15" hidden="false" customHeight="true" outlineLevel="0" collapsed="false">
      <c r="B41" s="5" t="s">
        <v>62</v>
      </c>
      <c r="C41" s="18" t="n">
        <f aca="false">MAX(0,MIN(C14-C21-C26-C31-C36,C40))</f>
        <v>0</v>
      </c>
      <c r="D41" s="18" t="n">
        <f aca="false">MAX(0,MIN(D14-D21-D26-D31-D36,D40))</f>
        <v>0</v>
      </c>
      <c r="E41" s="18" t="n">
        <f aca="false">MAX(0,MIN(E14-E21-E26-E31-E36,E40))</f>
        <v>0</v>
      </c>
      <c r="F41" s="18" t="n">
        <f aca="false">MAX(0,MIN(F14-F21-F26-F31-F36,F40))</f>
        <v>0</v>
      </c>
      <c r="G41" s="18" t="n">
        <f aca="false">MAX(0,MIN(G14-G21-G26-G31-G36,G40))</f>
        <v>0</v>
      </c>
      <c r="H41" s="18" t="n">
        <f aca="false">MAX(0,MIN(H14-H21-H26-H31-H36,H40))</f>
        <v>0</v>
      </c>
      <c r="I41" s="18" t="n">
        <f aca="false">MAX(0,MIN(I14-I21-I26-I31-I36,I40))</f>
        <v>0</v>
      </c>
      <c r="J41" s="18" t="n">
        <f aca="false">MAX(0,MIN(J14-J21-J26-J31-J36,J40))</f>
        <v>0</v>
      </c>
      <c r="K41" s="18" t="n">
        <f aca="false">MAX(0,MIN(K14-K21-K26-K31-K36,K40))</f>
        <v>0</v>
      </c>
      <c r="L41" s="18" t="n">
        <f aca="false">MAX(0,MIN(L14-L21-L26-L31-L36,L40))</f>
        <v>0</v>
      </c>
      <c r="M41" s="18" t="n">
        <f aca="false">MAX(0,MIN(M14-M21-M26-M31-M36,M40))</f>
        <v>0</v>
      </c>
      <c r="N41" s="18" t="n">
        <f aca="false">MAX(0,MIN(N14-N21-N26-N31-N36,N40))</f>
        <v>0</v>
      </c>
    </row>
    <row r="42" customFormat="false" ht="15" hidden="false" customHeight="true" outlineLevel="0" collapsed="false">
      <c r="B42" s="5" t="s">
        <v>63</v>
      </c>
      <c r="C42" s="18" t="n">
        <f aca="false">MAX(0,MIN(C15,(C40-C41)))</f>
        <v>115917.627752315</v>
      </c>
      <c r="D42" s="18" t="n">
        <f aca="false">MAX(0,MIN(D15,(D40-D41)))</f>
        <v>114663.810409532</v>
      </c>
      <c r="E42" s="18" t="n">
        <f aca="false">MAX(0,MIN(E15,(E40-E41)))</f>
        <v>113415.691982189</v>
      </c>
      <c r="F42" s="18" t="n">
        <f aca="false">MAX(0,MIN(F15,(F40-F41)))</f>
        <v>112173.246567282</v>
      </c>
      <c r="G42" s="18" t="n">
        <f aca="false">MAX(0,MIN(G15,(G40-G41)))</f>
        <v>110936.448379541</v>
      </c>
      <c r="H42" s="18" t="n">
        <f aca="false">MAX(0,MIN(H15,(H40-H41)))</f>
        <v>109705.271750897</v>
      </c>
      <c r="I42" s="18" t="n">
        <f aca="false">MAX(0,MIN(I15,(I40-I41)))</f>
        <v>108479.691129948</v>
      </c>
      <c r="J42" s="18" t="n">
        <f aca="false">MAX(0,MIN(J15,(J40-J41)))</f>
        <v>107259.681081432</v>
      </c>
      <c r="K42" s="18" t="n">
        <f aca="false">MAX(0,MIN(K15,(K40-K41)))</f>
        <v>106045.216285694</v>
      </c>
      <c r="L42" s="18" t="n">
        <f aca="false">MAX(0,MIN(L15,(L40-L41)))</f>
        <v>104836.271538164</v>
      </c>
      <c r="M42" s="18" t="n">
        <f aca="false">MAX(0,MIN(M15,(M40-M41)))</f>
        <v>103632.821748833</v>
      </c>
      <c r="N42" s="18" t="n">
        <f aca="false">MAX(0,MIN(N15,(N40-N41)))</f>
        <v>102434.841941734</v>
      </c>
    </row>
    <row r="43" customFormat="false" ht="15" hidden="false" customHeight="true" outlineLevel="0" collapsed="false">
      <c r="B43" s="5" t="s">
        <v>64</v>
      </c>
      <c r="C43" s="18" t="n">
        <f aca="false">C40-C41-C42</f>
        <v>1884082.37224769</v>
      </c>
      <c r="D43" s="18" t="n">
        <f aca="false">D40-D41-D42</f>
        <v>1769418.56183815</v>
      </c>
      <c r="E43" s="18" t="n">
        <f aca="false">E40-E41-E42</f>
        <v>1656002.86985596</v>
      </c>
      <c r="F43" s="18" t="n">
        <f aca="false">F40-F41-F42</f>
        <v>1543829.62328868</v>
      </c>
      <c r="G43" s="18" t="n">
        <f aca="false">G40-G41-G42</f>
        <v>1432893.17490914</v>
      </c>
      <c r="H43" s="18" t="n">
        <f aca="false">H40-H41-H42</f>
        <v>1323187.90315824</v>
      </c>
      <c r="I43" s="18" t="n">
        <f aca="false">I40-I41-I42</f>
        <v>1214708.2120283</v>
      </c>
      <c r="J43" s="18" t="n">
        <f aca="false">J40-J41-J42</f>
        <v>1107448.53094686</v>
      </c>
      <c r="K43" s="18" t="n">
        <f aca="false">K40-K41-K42</f>
        <v>1001403.31466117</v>
      </c>
      <c r="L43" s="18" t="n">
        <f aca="false">L40-L41-L42</f>
        <v>896567.043123006</v>
      </c>
      <c r="M43" s="18" t="n">
        <f aca="false">M40-M41-M42</f>
        <v>792934.221374173</v>
      </c>
      <c r="N43" s="18" t="n">
        <f aca="false">N40-N41-N42</f>
        <v>690499.379432439</v>
      </c>
    </row>
    <row r="45" customFormat="false" ht="15" hidden="false" customHeight="true" outlineLevel="0" collapsed="false">
      <c r="B45" s="17" t="s">
        <v>65</v>
      </c>
    </row>
    <row r="46" customFormat="false" ht="15" hidden="false" customHeight="true" outlineLevel="0" collapsed="false">
      <c r="B46" s="5" t="s">
        <v>29</v>
      </c>
      <c r="C46" s="19" t="n">
        <f aca="false">IFERROR(SUMPRODUCT(COLUMN(C21:N21)-COLUMN(C21)+1,C21:N21)/SUM(C21:N21)/12,"-")</f>
        <v>0.547647588171936</v>
      </c>
    </row>
    <row r="47" customFormat="false" ht="15" hidden="false" customHeight="true" outlineLevel="0" collapsed="false">
      <c r="B47" s="5" t="s">
        <v>30</v>
      </c>
      <c r="C47" s="19" t="str">
        <f aca="false">IFERROR(SUMPRODUCT(COLUMN(C26:N26)-COLUMN(C26)+1,C26:N26)/SUM(C26:N26)/12,"-")</f>
        <v>-</v>
      </c>
    </row>
    <row r="48" customFormat="false" ht="15" hidden="false" customHeight="true" outlineLevel="0" collapsed="false">
      <c r="B48" s="5" t="s">
        <v>31</v>
      </c>
      <c r="C48" s="19" t="str">
        <f aca="false">IFERROR(SUMPRODUCT(COLUMN(C31:N31)-COLUMN(C31)+1,C31:N31)/SUM(C31:N31)/12,"-")</f>
        <v>-</v>
      </c>
    </row>
    <row r="49" customFormat="false" ht="15" hidden="false" customHeight="true" outlineLevel="0" collapsed="false">
      <c r="B49" s="5" t="s">
        <v>32</v>
      </c>
      <c r="C49" s="19" t="str">
        <f aca="false">IFERROR(SUMPRODUCT(COLUMN(C36:N36)-COLUMN(C36)+1,C36:N36)/SUM(C36:N36)/12,"-")</f>
        <v>-</v>
      </c>
    </row>
    <row r="50" customFormat="false" ht="15" hidden="false" customHeight="true" outlineLevel="0" collapsed="false">
      <c r="B50" s="5" t="s">
        <v>33</v>
      </c>
      <c r="C50" s="19" t="str">
        <f aca="false">IFERROR(SUMPRODUCT(COLUMN(C41:N41)-COLUMN(C41)+1,C41:N41)/SUM(C41:N41)/12,"-")</f>
        <v>-</v>
      </c>
    </row>
    <row r="51" customFormat="false" ht="15" hidden="false" customHeight="true" outlineLevel="0" collapsed="false">
      <c r="B51" s="10" t="s">
        <v>66</v>
      </c>
    </row>
    <row r="53" customFormat="false" ht="15" hidden="false" customHeight="true" outlineLevel="0" collapsed="false">
      <c r="B53" s="17" t="s">
        <v>67</v>
      </c>
    </row>
    <row r="54" customFormat="false" ht="15" hidden="false" customHeight="true" outlineLevel="0" collapsed="false">
      <c r="B54" s="1" t="s">
        <v>68</v>
      </c>
      <c r="C54" s="18" t="n">
        <f aca="false">N12</f>
        <v>87339871.6118904</v>
      </c>
    </row>
    <row r="55" customFormat="false" ht="15" hidden="false" customHeight="true" outlineLevel="0" collapsed="false">
      <c r="B55" s="1" t="s">
        <v>69</v>
      </c>
      <c r="C55" s="18" t="n">
        <f aca="false">N23+N28+N33+N38+N43</f>
        <v>87594247.5588957</v>
      </c>
    </row>
    <row r="56" customFormat="false" ht="15" hidden="false" customHeight="true" outlineLevel="0" collapsed="false">
      <c r="B56" s="1" t="s">
        <v>70</v>
      </c>
      <c r="C56" s="18" t="n">
        <f aca="false">C54-C55</f>
        <v>-254375.947005361</v>
      </c>
    </row>
    <row r="57" customFormat="false" ht="15" hidden="false" customHeight="true" outlineLevel="0" collapsed="false">
      <c r="B57" s="1" t="s">
        <v>71</v>
      </c>
      <c r="C57" s="18" t="n">
        <f aca="false">-'Collateral Pool'!$C$10*(L8+M8+N8)</f>
        <v>-254375.947005326</v>
      </c>
    </row>
    <row r="58" customFormat="false" ht="15" hidden="false" customHeight="true" outlineLevel="0" collapsed="false">
      <c r="B58" s="1" t="s">
        <v>72</v>
      </c>
      <c r="C58" s="20" t="n">
        <f aca="false">C56-C57</f>
        <v>-3.57977114617825E-008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14" min="3" style="1" width="10"/>
    <col collapsed="false" customWidth="true" hidden="false" outlineLevel="0" max="15" min="15" style="1" width="4"/>
  </cols>
  <sheetData>
    <row r="2" customFormat="false" ht="19.5" hidden="false" customHeight="true" outlineLevel="0" collapsed="false">
      <c r="B2" s="2" t="s">
        <v>73</v>
      </c>
    </row>
    <row r="3" customFormat="false" ht="15" hidden="false" customHeight="true" outlineLevel="0" collapsed="false">
      <c r="B3" s="10" t="s">
        <v>74</v>
      </c>
    </row>
    <row r="5" customFormat="false" ht="15" hidden="false" customHeight="true" outlineLevel="0" collapsed="false">
      <c r="B5" s="17" t="s">
        <v>75</v>
      </c>
      <c r="C5" s="12" t="s">
        <v>38</v>
      </c>
      <c r="D5" s="12" t="s">
        <v>39</v>
      </c>
      <c r="E5" s="12" t="s">
        <v>40</v>
      </c>
      <c r="F5" s="12" t="s">
        <v>41</v>
      </c>
      <c r="G5" s="12" t="s">
        <v>42</v>
      </c>
      <c r="H5" s="12" t="s">
        <v>43</v>
      </c>
      <c r="I5" s="12" t="s">
        <v>44</v>
      </c>
      <c r="J5" s="12" t="s">
        <v>45</v>
      </c>
      <c r="K5" s="12" t="s">
        <v>46</v>
      </c>
      <c r="L5" s="12" t="s">
        <v>47</v>
      </c>
      <c r="M5" s="12" t="s">
        <v>48</v>
      </c>
      <c r="N5" s="12" t="s">
        <v>49</v>
      </c>
    </row>
    <row r="6" customFormat="false" ht="15" hidden="false" customHeight="true" outlineLevel="0" collapsed="false">
      <c r="B6" s="5" t="s">
        <v>76</v>
      </c>
      <c r="C6" s="9" t="n">
        <f aca="false">MIN(0.06,0.002*1)*0.5</f>
        <v>0.001</v>
      </c>
      <c r="D6" s="9" t="n">
        <f aca="false">MIN(0.06,0.002*2)*0.5</f>
        <v>0.002</v>
      </c>
      <c r="E6" s="9" t="n">
        <f aca="false">MIN(0.06,0.002*3)*0.5</f>
        <v>0.003</v>
      </c>
      <c r="F6" s="9" t="n">
        <f aca="false">MIN(0.06,0.002*4)*0.5</f>
        <v>0.004</v>
      </c>
      <c r="G6" s="9" t="n">
        <f aca="false">MIN(0.06,0.002*5)*0.5</f>
        <v>0.005</v>
      </c>
      <c r="H6" s="9" t="n">
        <f aca="false">MIN(0.06,0.002*6)*0.5</f>
        <v>0.006</v>
      </c>
      <c r="I6" s="9" t="n">
        <f aca="false">MIN(0.06,0.002*7)*0.5</f>
        <v>0.007</v>
      </c>
      <c r="J6" s="9" t="n">
        <f aca="false">MIN(0.06,0.002*8)*0.5</f>
        <v>0.008</v>
      </c>
      <c r="K6" s="9" t="n">
        <f aca="false">MIN(0.06,0.002*9)*0.5</f>
        <v>0.009</v>
      </c>
      <c r="L6" s="9" t="n">
        <f aca="false">MIN(0.06,0.002*10)*0.5</f>
        <v>0.01</v>
      </c>
      <c r="M6" s="9" t="n">
        <f aca="false">MIN(0.06,0.002*11)*0.5</f>
        <v>0.011</v>
      </c>
      <c r="N6" s="9" t="n">
        <f aca="false">MIN(0.06,0.002*12)*0.5</f>
        <v>0.012</v>
      </c>
    </row>
    <row r="7" customFormat="false" ht="15" hidden="false" customHeight="true" outlineLevel="0" collapsed="false">
      <c r="B7" s="5" t="s">
        <v>77</v>
      </c>
      <c r="C7" s="9" t="n">
        <f aca="false">1-(1-C6)^(1/12)</f>
        <v>8.33715521976197E-005</v>
      </c>
      <c r="D7" s="9" t="n">
        <f aca="false">1-(1-D6)^(1/12)</f>
        <v>0.000166819639945581</v>
      </c>
      <c r="E7" s="9" t="n">
        <f aca="false">1-(1-E6)^(1/12)</f>
        <v>0.000250344410298808</v>
      </c>
      <c r="F7" s="9" t="n">
        <f aca="false">1-(1-F6)^(1/12)</f>
        <v>0.000333946010742214</v>
      </c>
      <c r="G7" s="9" t="n">
        <f aca="false">1-(1-G6)^(1/12)</f>
        <v>0.000417624589193033</v>
      </c>
      <c r="H7" s="9" t="n">
        <f aca="false">1-(1-H6)^(1/12)</f>
        <v>0.000501380294002152</v>
      </c>
      <c r="I7" s="9" t="n">
        <f aca="false">1-(1-I6)^(1/12)</f>
        <v>0.000585213273956109</v>
      </c>
      <c r="J7" s="9" t="n">
        <f aca="false">1-(1-J6)^(1/12)</f>
        <v>0.000669123678278649</v>
      </c>
      <c r="K7" s="9" t="n">
        <f aca="false">1-(1-K6)^(1/12)</f>
        <v>0.000753111656632388</v>
      </c>
      <c r="L7" s="9" t="n">
        <f aca="false">1-(1-L6)^(1/12)</f>
        <v>0.000837177359120589</v>
      </c>
      <c r="M7" s="9" t="n">
        <f aca="false">1-(1-M6)^(1/12)</f>
        <v>0.00092132093628905</v>
      </c>
      <c r="N7" s="9" t="n">
        <f aca="false">1-(1-N6)^(1/12)</f>
        <v>0.00100554253912766</v>
      </c>
    </row>
    <row r="8" customFormat="false" ht="15" hidden="false" customHeight="true" outlineLevel="0" collapsed="false">
      <c r="B8" s="5" t="s">
        <v>61</v>
      </c>
      <c r="C8" s="18" t="n">
        <f aca="false">'Collateral Pool'!$C$5</f>
        <v>100000000</v>
      </c>
      <c r="D8" s="18" t="n">
        <f aca="false">C11</f>
        <v>99901269.0248554</v>
      </c>
      <c r="E8" s="18" t="n">
        <f aca="false">D11</f>
        <v>99793682.551454</v>
      </c>
      <c r="F8" s="18" t="n">
        <f aca="false">E11</f>
        <v>99677203.7624189</v>
      </c>
      <c r="G8" s="18" t="n">
        <f aca="false">F11</f>
        <v>99551797.8944843</v>
      </c>
      <c r="H8" s="18" t="n">
        <f aca="false">G11</f>
        <v>99417432.2652764</v>
      </c>
      <c r="I8" s="18" t="n">
        <f aca="false">H11</f>
        <v>99274076.2994043</v>
      </c>
      <c r="J8" s="18" t="n">
        <f aca="false">I11</f>
        <v>99121701.5538396</v>
      </c>
      <c r="K8" s="18" t="n">
        <f aca="false">J11</f>
        <v>98960281.7425665</v>
      </c>
      <c r="L8" s="18" t="n">
        <f aca="false">K11</f>
        <v>98789792.7604837</v>
      </c>
      <c r="M8" s="18" t="n">
        <f aca="false">L11</f>
        <v>98610212.706541</v>
      </c>
      <c r="N8" s="18" t="n">
        <f aca="false">M11</f>
        <v>98421521.9060901</v>
      </c>
    </row>
    <row r="9" customFormat="false" ht="15" hidden="false" customHeight="true" outlineLevel="0" collapsed="false">
      <c r="B9" s="5" t="s">
        <v>78</v>
      </c>
      <c r="C9" s="18" t="n">
        <f aca="false">MAX(0,MIN('Collateral Pool'!$C$15-C8*'Collateral Pool'!$C$6/12,C8))</f>
        <v>90401.3568262986</v>
      </c>
      <c r="D9" s="18" t="n">
        <f aca="false">MAX(0,MIN('Collateral Pool'!$C$15-D8*'Collateral Pool'!$C$6/12,D8))</f>
        <v>90936.149608332</v>
      </c>
      <c r="E9" s="18" t="n">
        <f aca="false">MAX(0,MIN('Collateral Pool'!$C$15-E8*'Collateral Pool'!$C$6/12,E8))</f>
        <v>91518.9096725897</v>
      </c>
      <c r="F9" s="18" t="n">
        <f aca="false">MAX(0,MIN('Collateral Pool'!$C$15-F8*'Collateral Pool'!$C$6/12,F8))</f>
        <v>92149.8364465293</v>
      </c>
      <c r="G9" s="18" t="n">
        <f aca="false">MAX(0,MIN('Collateral Pool'!$C$15-G8*'Collateral Pool'!$C$6/12,G8))</f>
        <v>92829.1182311752</v>
      </c>
      <c r="H9" s="18" t="n">
        <f aca="false">MAX(0,MIN('Collateral Pool'!$C$15-H8*'Collateral Pool'!$C$6/12,H8))</f>
        <v>93556.9320560516</v>
      </c>
      <c r="I9" s="18" t="n">
        <f aca="false">MAX(0,MIN('Collateral Pool'!$C$15-I8*'Collateral Pool'!$C$6/12,I8))</f>
        <v>94333.4435378586</v>
      </c>
      <c r="J9" s="18" t="n">
        <f aca="false">MAX(0,MIN('Collateral Pool'!$C$15-J8*'Collateral Pool'!$C$6/12,J8))</f>
        <v>95158.8067430005</v>
      </c>
      <c r="K9" s="18" t="n">
        <f aca="false">MAX(0,MIN('Collateral Pool'!$C$15-K8*'Collateral Pool'!$C$6/12,K8))</f>
        <v>96033.1640540635</v>
      </c>
      <c r="L9" s="18" t="n">
        <f aca="false">MAX(0,MIN('Collateral Pool'!$C$15-L8*'Collateral Pool'!$C$6/12,L8))</f>
        <v>96956.646040345</v>
      </c>
      <c r="M9" s="18" t="n">
        <f aca="false">MAX(0,MIN('Collateral Pool'!$C$15-M8*'Collateral Pool'!$C$6/12,M8))</f>
        <v>97929.3713325349</v>
      </c>
      <c r="N9" s="18" t="n">
        <f aca="false">MAX(0,MIN('Collateral Pool'!$C$15-N8*'Collateral Pool'!$C$6/12,N8))</f>
        <v>98951.446501644</v>
      </c>
    </row>
    <row r="10" customFormat="false" ht="15" hidden="false" customHeight="true" outlineLevel="0" collapsed="false">
      <c r="B10" s="5" t="s">
        <v>79</v>
      </c>
      <c r="C10" s="18" t="n">
        <f aca="false">MAX(0,C8-C9)*C7</f>
        <v>8329.61831832259</v>
      </c>
      <c r="D10" s="18" t="n">
        <f aca="false">MAX(0,D8-D9)*D7</f>
        <v>16650.3237930973</v>
      </c>
      <c r="E10" s="18" t="n">
        <f aca="false">MAX(0,E8-E9)*E7</f>
        <v>24959.879362417</v>
      </c>
      <c r="F10" s="18" t="n">
        <f aca="false">MAX(0,F8-F9)*F7</f>
        <v>33256.0314881268</v>
      </c>
      <c r="G10" s="18" t="n">
        <f aca="false">MAX(0,G8-G9)*G7</f>
        <v>41536.5109767454</v>
      </c>
      <c r="H10" s="18" t="n">
        <f aca="false">MAX(0,H8-H9)*H7</f>
        <v>49799.0338160031</v>
      </c>
      <c r="I10" s="18" t="n">
        <f aca="false">MAX(0,I8-I9)*I7</f>
        <v>58041.3020268066</v>
      </c>
      <c r="J10" s="18" t="n">
        <f aca="false">MAX(0,J8-J9)*J7</f>
        <v>66261.0045301552</v>
      </c>
      <c r="K10" s="18" t="n">
        <f aca="false">MAX(0,K8-K9)*K7</f>
        <v>74455.8180286797</v>
      </c>
      <c r="L10" s="18" t="n">
        <f aca="false">MAX(0,L8-L9)*L7</f>
        <v>82623.4079024108</v>
      </c>
      <c r="M10" s="18" t="n">
        <f aca="false">MAX(0,M8-M9)*M7</f>
        <v>90761.4291183664</v>
      </c>
      <c r="N10" s="18" t="n">
        <f aca="false">MAX(0,N8-N9)*N7</f>
        <v>98867.5271534926</v>
      </c>
    </row>
    <row r="11" customFormat="false" ht="15" hidden="false" customHeight="true" outlineLevel="0" collapsed="false">
      <c r="B11" s="5" t="s">
        <v>64</v>
      </c>
      <c r="C11" s="18" t="n">
        <f aca="false">C8-C9-C10</f>
        <v>99901269.0248554</v>
      </c>
      <c r="D11" s="18" t="n">
        <f aca="false">D8-D9-D10</f>
        <v>99793682.551454</v>
      </c>
      <c r="E11" s="18" t="n">
        <f aca="false">E8-E9-E10</f>
        <v>99677203.7624189</v>
      </c>
      <c r="F11" s="18" t="n">
        <f aca="false">F8-F9-F10</f>
        <v>99551797.8944843</v>
      </c>
      <c r="G11" s="18" t="n">
        <f aca="false">G8-G9-G10</f>
        <v>99417432.2652764</v>
      </c>
      <c r="H11" s="18" t="n">
        <f aca="false">H8-H9-H10</f>
        <v>99274076.2994043</v>
      </c>
      <c r="I11" s="18" t="n">
        <f aca="false">I8-I9-I10</f>
        <v>99121701.5538396</v>
      </c>
      <c r="J11" s="18" t="n">
        <f aca="false">J8-J9-J10</f>
        <v>98960281.7425665</v>
      </c>
      <c r="K11" s="18" t="n">
        <f aca="false">K8-K9-K10</f>
        <v>98789792.7604837</v>
      </c>
      <c r="L11" s="18" t="n">
        <f aca="false">L8-L9-L10</f>
        <v>98610212.706541</v>
      </c>
      <c r="M11" s="18" t="n">
        <f aca="false">M8-M9-M10</f>
        <v>98421521.9060901</v>
      </c>
      <c r="N11" s="18" t="n">
        <f aca="false">N8-N9-N10</f>
        <v>98223702.932435</v>
      </c>
    </row>
    <row r="13" customFormat="false" ht="15" hidden="false" customHeight="true" outlineLevel="0" collapsed="false">
      <c r="B13" s="17" t="s">
        <v>80</v>
      </c>
      <c r="C13" s="12" t="s">
        <v>38</v>
      </c>
      <c r="D13" s="12" t="s">
        <v>39</v>
      </c>
      <c r="E13" s="12" t="s">
        <v>40</v>
      </c>
      <c r="F13" s="12" t="s">
        <v>41</v>
      </c>
      <c r="G13" s="12" t="s">
        <v>42</v>
      </c>
      <c r="H13" s="12" t="s">
        <v>43</v>
      </c>
      <c r="I13" s="12" t="s">
        <v>44</v>
      </c>
      <c r="J13" s="12" t="s">
        <v>45</v>
      </c>
      <c r="K13" s="12" t="s">
        <v>46</v>
      </c>
      <c r="L13" s="12" t="s">
        <v>47</v>
      </c>
      <c r="M13" s="12" t="s">
        <v>48</v>
      </c>
      <c r="N13" s="12" t="s">
        <v>49</v>
      </c>
    </row>
    <row r="14" customFormat="false" ht="15" hidden="false" customHeight="true" outlineLevel="0" collapsed="false">
      <c r="B14" s="5" t="s">
        <v>76</v>
      </c>
      <c r="C14" s="9" t="n">
        <f aca="false">MIN(0.06,0.002*1)*1</f>
        <v>0.002</v>
      </c>
      <c r="D14" s="9" t="n">
        <f aca="false">MIN(0.06,0.002*2)*1</f>
        <v>0.004</v>
      </c>
      <c r="E14" s="9" t="n">
        <f aca="false">MIN(0.06,0.002*3)*1</f>
        <v>0.006</v>
      </c>
      <c r="F14" s="9" t="n">
        <f aca="false">MIN(0.06,0.002*4)*1</f>
        <v>0.008</v>
      </c>
      <c r="G14" s="9" t="n">
        <f aca="false">MIN(0.06,0.002*5)*1</f>
        <v>0.01</v>
      </c>
      <c r="H14" s="9" t="n">
        <f aca="false">MIN(0.06,0.002*6)*1</f>
        <v>0.012</v>
      </c>
      <c r="I14" s="9" t="n">
        <f aca="false">MIN(0.06,0.002*7)*1</f>
        <v>0.014</v>
      </c>
      <c r="J14" s="9" t="n">
        <f aca="false">MIN(0.06,0.002*8)*1</f>
        <v>0.016</v>
      </c>
      <c r="K14" s="9" t="n">
        <f aca="false">MIN(0.06,0.002*9)*1</f>
        <v>0.018</v>
      </c>
      <c r="L14" s="9" t="n">
        <f aca="false">MIN(0.06,0.002*10)*1</f>
        <v>0.02</v>
      </c>
      <c r="M14" s="9" t="n">
        <f aca="false">MIN(0.06,0.002*11)*1</f>
        <v>0.022</v>
      </c>
      <c r="N14" s="9" t="n">
        <f aca="false">MIN(0.06,0.002*12)*1</f>
        <v>0.024</v>
      </c>
    </row>
    <row r="15" customFormat="false" ht="15" hidden="false" customHeight="true" outlineLevel="0" collapsed="false">
      <c r="B15" s="5" t="s">
        <v>77</v>
      </c>
      <c r="C15" s="9" t="n">
        <f aca="false">1-(1-C14)^(1/12)</f>
        <v>0.000166819639945581</v>
      </c>
      <c r="D15" s="9" t="n">
        <f aca="false">1-(1-D14)^(1/12)</f>
        <v>0.000333946010742214</v>
      </c>
      <c r="E15" s="9" t="n">
        <f aca="false">1-(1-E14)^(1/12)</f>
        <v>0.000501380294002152</v>
      </c>
      <c r="F15" s="9" t="n">
        <f aca="false">1-(1-F14)^(1/12)</f>
        <v>0.000669123678278649</v>
      </c>
      <c r="G15" s="9" t="n">
        <f aca="false">1-(1-G14)^(1/12)</f>
        <v>0.000837177359120589</v>
      </c>
      <c r="H15" s="9" t="n">
        <f aca="false">1-(1-H14)^(1/12)</f>
        <v>0.00100554253912766</v>
      </c>
      <c r="I15" s="9" t="n">
        <f aca="false">1-(1-I14)^(1/12)</f>
        <v>0.00117422042800674</v>
      </c>
      <c r="J15" s="9" t="n">
        <f aca="false">1-(1-J14)^(1/12)</f>
        <v>0.00134321224262823</v>
      </c>
      <c r="K15" s="9" t="n">
        <f aca="false">1-(1-K14)^(1/12)</f>
        <v>0.00151251920708273</v>
      </c>
      <c r="L15" s="9" t="n">
        <f aca="false">1-(1-L14)^(1/12)</f>
        <v>0.00168214255273957</v>
      </c>
      <c r="M15" s="9" t="n">
        <f aca="false">1-(1-M14)^(1/12)</f>
        <v>0.00185208351830413</v>
      </c>
      <c r="N15" s="9" t="n">
        <f aca="false">1-(1-N14)^(1/12)</f>
        <v>0.00202234334987717</v>
      </c>
    </row>
    <row r="16" customFormat="false" ht="15" hidden="false" customHeight="true" outlineLevel="0" collapsed="false">
      <c r="B16" s="5" t="s">
        <v>61</v>
      </c>
      <c r="C16" s="18" t="n">
        <f aca="false">'Collateral Pool'!$C$5</f>
        <v>100000000</v>
      </c>
      <c r="D16" s="18" t="n">
        <f aca="false">C19</f>
        <v>99892931.7599009</v>
      </c>
      <c r="E16" s="18" t="n">
        <f aca="false">D19</f>
        <v>99768621.9868903</v>
      </c>
      <c r="F16" s="18" t="n">
        <f aca="false">E19</f>
        <v>99626991.2653066</v>
      </c>
      <c r="G16" s="18" t="n">
        <f aca="false">F19</f>
        <v>99467968.5072781</v>
      </c>
      <c r="H16" s="18" t="n">
        <f aca="false">G19</f>
        <v>99291491.0765856</v>
      </c>
      <c r="I16" s="18" t="n">
        <f aca="false">H19</f>
        <v>99097504.9064774</v>
      </c>
      <c r="J16" s="18" t="n">
        <f aca="false">I19</f>
        <v>98885964.6112497</v>
      </c>
      <c r="K16" s="18" t="n">
        <f aca="false">J19</f>
        <v>98656833.591411</v>
      </c>
      <c r="L16" s="18" t="n">
        <f aca="false">K19</f>
        <v>98410084.1322534</v>
      </c>
      <c r="M16" s="18" t="n">
        <f aca="false">L19</f>
        <v>98145697.4956613</v>
      </c>
      <c r="N16" s="18" t="n">
        <f aca="false">M19</f>
        <v>97863664.0049921</v>
      </c>
    </row>
    <row r="17" customFormat="false" ht="15" hidden="false" customHeight="true" outlineLevel="0" collapsed="false">
      <c r="B17" s="5" t="s">
        <v>78</v>
      </c>
      <c r="C17" s="18" t="n">
        <f aca="false">MAX(0,MIN('Collateral Pool'!$C$15-C16*'Collateral Pool'!$C$6/12,C16))</f>
        <v>90401.3568262986</v>
      </c>
      <c r="D17" s="18" t="n">
        <f aca="false">MAX(0,MIN('Collateral Pool'!$C$15-D16*'Collateral Pool'!$C$6/12,D16))</f>
        <v>90981.3097935019</v>
      </c>
      <c r="E17" s="18" t="n">
        <f aca="false">MAX(0,MIN('Collateral Pool'!$C$15-E16*'Collateral Pool'!$C$6/12,E16))</f>
        <v>91654.6543973093</v>
      </c>
      <c r="F17" s="18" t="n">
        <f aca="false">MAX(0,MIN('Collateral Pool'!$C$15-F16*'Collateral Pool'!$C$6/12,F16))</f>
        <v>92421.8208058879</v>
      </c>
      <c r="G17" s="18" t="n">
        <f aca="false">MAX(0,MIN('Collateral Pool'!$C$15-G16*'Collateral Pool'!$C$6/12,G16))</f>
        <v>93283.1940785421</v>
      </c>
      <c r="H17" s="18" t="n">
        <f aca="false">MAX(0,MIN('Collateral Pool'!$C$15-H16*'Collateral Pool'!$C$6/12,H16))</f>
        <v>94239.1134947931</v>
      </c>
      <c r="I17" s="18" t="n">
        <f aca="false">MAX(0,MIN('Collateral Pool'!$C$15-I16*'Collateral Pool'!$C$6/12,I16))</f>
        <v>95289.8719162127</v>
      </c>
      <c r="J17" s="18" t="n">
        <f aca="false">MAX(0,MIN('Collateral Pool'!$C$15-J16*'Collateral Pool'!$C$6/12,J16))</f>
        <v>96435.7151820295</v>
      </c>
      <c r="K17" s="18" t="n">
        <f aca="false">MAX(0,MIN('Collateral Pool'!$C$15-K16*'Collateral Pool'!$C$6/12,K16))</f>
        <v>97676.8415394892</v>
      </c>
      <c r="L17" s="18" t="n">
        <f aca="false">MAX(0,MIN('Collateral Pool'!$C$15-L16*'Collateral Pool'!$C$6/12,L16))</f>
        <v>99013.4011099259</v>
      </c>
      <c r="M17" s="18" t="n">
        <f aca="false">MAX(0,MIN('Collateral Pool'!$C$15-M16*'Collateral Pool'!$C$6/12,M16))</f>
        <v>100445.495391467</v>
      </c>
      <c r="N17" s="18" t="n">
        <f aca="false">MAX(0,MIN('Collateral Pool'!$C$15-N16*'Collateral Pool'!$C$6/12,N16))</f>
        <v>101973.176799258</v>
      </c>
    </row>
    <row r="18" customFormat="false" ht="15" hidden="false" customHeight="true" outlineLevel="0" collapsed="false">
      <c r="B18" s="5" t="s">
        <v>79</v>
      </c>
      <c r="C18" s="18" t="n">
        <f aca="false">MAX(0,C16-C17)*C15</f>
        <v>16666.8832727618</v>
      </c>
      <c r="D18" s="18" t="n">
        <f aca="false">MAX(0,D16-D17)*D15</f>
        <v>33328.4632171055</v>
      </c>
      <c r="E18" s="18" t="n">
        <f aca="false">MAX(0,E16-E17)*E15</f>
        <v>49976.0671864082</v>
      </c>
      <c r="F18" s="18" t="n">
        <f aca="false">MAX(0,F16-F17)*F15</f>
        <v>66600.937222586</v>
      </c>
      <c r="G18" s="18" t="n">
        <f aca="false">MAX(0,G16-G17)*G15</f>
        <v>83194.236613944</v>
      </c>
      <c r="H18" s="18" t="n">
        <f aca="false">MAX(0,H16-H17)*H15</f>
        <v>99747.0566134524</v>
      </c>
      <c r="I18" s="18" t="n">
        <f aca="false">MAX(0,I16-I17)*I15</f>
        <v>116250.423311498</v>
      </c>
      <c r="J18" s="18" t="n">
        <f aca="false">MAX(0,J16-J17)*J15</f>
        <v>132695.304656674</v>
      </c>
      <c r="K18" s="18" t="n">
        <f aca="false">MAX(0,K16-K17)*K15</f>
        <v>149072.617618058</v>
      </c>
      <c r="L18" s="18" t="n">
        <f aca="false">MAX(0,L16-L17)*L15</f>
        <v>165373.235482247</v>
      </c>
      <c r="M18" s="18" t="n">
        <f aca="false">MAX(0,M16-M17)*M15</f>
        <v>181587.995277674</v>
      </c>
      <c r="N18" s="18" t="n">
        <f aca="false">MAX(0,N16-N17)*N15</f>
        <v>197707.705319143</v>
      </c>
    </row>
    <row r="19" customFormat="false" ht="15" hidden="false" customHeight="true" outlineLevel="0" collapsed="false">
      <c r="B19" s="5" t="s">
        <v>64</v>
      </c>
      <c r="C19" s="18" t="n">
        <f aca="false">C16-C17-C18</f>
        <v>99892931.7599009</v>
      </c>
      <c r="D19" s="18" t="n">
        <f aca="false">D16-D17-D18</f>
        <v>99768621.9868903</v>
      </c>
      <c r="E19" s="18" t="n">
        <f aca="false">E16-E17-E18</f>
        <v>99626991.2653066</v>
      </c>
      <c r="F19" s="18" t="n">
        <f aca="false">F16-F17-F18</f>
        <v>99467968.5072781</v>
      </c>
      <c r="G19" s="18" t="n">
        <f aca="false">G16-G17-G18</f>
        <v>99291491.0765856</v>
      </c>
      <c r="H19" s="18" t="n">
        <f aca="false">H16-H17-H18</f>
        <v>99097504.9064774</v>
      </c>
      <c r="I19" s="18" t="n">
        <f aca="false">I16-I17-I18</f>
        <v>98885964.6112497</v>
      </c>
      <c r="J19" s="18" t="n">
        <f aca="false">J16-J17-J18</f>
        <v>98656833.591411</v>
      </c>
      <c r="K19" s="18" t="n">
        <f aca="false">K16-K17-K18</f>
        <v>98410084.1322534</v>
      </c>
      <c r="L19" s="18" t="n">
        <f aca="false">L16-L17-L18</f>
        <v>98145697.4956613</v>
      </c>
      <c r="M19" s="18" t="n">
        <f aca="false">M16-M17-M18</f>
        <v>97863664.0049921</v>
      </c>
      <c r="N19" s="18" t="n">
        <f aca="false">N16-N17-N18</f>
        <v>97563983.1228737</v>
      </c>
    </row>
    <row r="21" customFormat="false" ht="15" hidden="false" customHeight="true" outlineLevel="0" collapsed="false">
      <c r="B21" s="17" t="s">
        <v>81</v>
      </c>
      <c r="C21" s="12" t="s">
        <v>38</v>
      </c>
      <c r="D21" s="12" t="s">
        <v>39</v>
      </c>
      <c r="E21" s="12" t="s">
        <v>40</v>
      </c>
      <c r="F21" s="12" t="s">
        <v>41</v>
      </c>
      <c r="G21" s="12" t="s">
        <v>42</v>
      </c>
      <c r="H21" s="12" t="s">
        <v>43</v>
      </c>
      <c r="I21" s="12" t="s">
        <v>44</v>
      </c>
      <c r="J21" s="12" t="s">
        <v>45</v>
      </c>
      <c r="K21" s="12" t="s">
        <v>46</v>
      </c>
      <c r="L21" s="12" t="s">
        <v>47</v>
      </c>
      <c r="M21" s="12" t="s">
        <v>48</v>
      </c>
      <c r="N21" s="12" t="s">
        <v>49</v>
      </c>
    </row>
    <row r="22" customFormat="false" ht="15" hidden="false" customHeight="true" outlineLevel="0" collapsed="false">
      <c r="B22" s="5" t="s">
        <v>76</v>
      </c>
      <c r="C22" s="9" t="n">
        <f aca="false">MIN(0.06,0.002*1)*1.5</f>
        <v>0.003</v>
      </c>
      <c r="D22" s="9" t="n">
        <f aca="false">MIN(0.06,0.002*2)*1.5</f>
        <v>0.006</v>
      </c>
      <c r="E22" s="9" t="n">
        <f aca="false">MIN(0.06,0.002*3)*1.5</f>
        <v>0.009</v>
      </c>
      <c r="F22" s="9" t="n">
        <f aca="false">MIN(0.06,0.002*4)*1.5</f>
        <v>0.012</v>
      </c>
      <c r="G22" s="9" t="n">
        <f aca="false">MIN(0.06,0.002*5)*1.5</f>
        <v>0.015</v>
      </c>
      <c r="H22" s="9" t="n">
        <f aca="false">MIN(0.06,0.002*6)*1.5</f>
        <v>0.018</v>
      </c>
      <c r="I22" s="9" t="n">
        <f aca="false">MIN(0.06,0.002*7)*1.5</f>
        <v>0.021</v>
      </c>
      <c r="J22" s="9" t="n">
        <f aca="false">MIN(0.06,0.002*8)*1.5</f>
        <v>0.024</v>
      </c>
      <c r="K22" s="9" t="n">
        <f aca="false">MIN(0.06,0.002*9)*1.5</f>
        <v>0.027</v>
      </c>
      <c r="L22" s="9" t="n">
        <f aca="false">MIN(0.06,0.002*10)*1.5</f>
        <v>0.03</v>
      </c>
      <c r="M22" s="9" t="n">
        <f aca="false">MIN(0.06,0.002*11)*1.5</f>
        <v>0.033</v>
      </c>
      <c r="N22" s="9" t="n">
        <f aca="false">MIN(0.06,0.002*12)*1.5</f>
        <v>0.036</v>
      </c>
    </row>
    <row r="23" customFormat="false" ht="15" hidden="false" customHeight="true" outlineLevel="0" collapsed="false">
      <c r="B23" s="5" t="s">
        <v>77</v>
      </c>
      <c r="C23" s="9" t="n">
        <f aca="false">1-(1-C22)^(1/12)</f>
        <v>0.000250344410298808</v>
      </c>
      <c r="D23" s="9" t="n">
        <f aca="false">1-(1-D22)^(1/12)</f>
        <v>0.000501380294002152</v>
      </c>
      <c r="E23" s="9" t="n">
        <f aca="false">1-(1-E22)^(1/12)</f>
        <v>0.000753111656632388</v>
      </c>
      <c r="F23" s="9" t="n">
        <f aca="false">1-(1-F22)^(1/12)</f>
        <v>0.00100554253912766</v>
      </c>
      <c r="G23" s="9" t="n">
        <f aca="false">1-(1-G22)^(1/12)</f>
        <v>0.00125867701826388</v>
      </c>
      <c r="H23" s="9" t="n">
        <f aca="false">1-(1-H22)^(1/12)</f>
        <v>0.00151251920708273</v>
      </c>
      <c r="I23" s="9" t="n">
        <f aca="false">1-(1-I22)^(1/12)</f>
        <v>0.0017670732553261</v>
      </c>
      <c r="J23" s="9" t="n">
        <f aca="false">1-(1-J22)^(1/12)</f>
        <v>0.00202234334987717</v>
      </c>
      <c r="K23" s="9" t="n">
        <f aca="false">1-(1-K22)^(1/12)</f>
        <v>0.00227833371520869</v>
      </c>
      <c r="L23" s="9" t="n">
        <f aca="false">1-(1-L22)^(1/12)</f>
        <v>0.00253504861383669</v>
      </c>
      <c r="M23" s="9" t="n">
        <f aca="false">1-(1-M22)^(1/12)</f>
        <v>0.0027924923467828</v>
      </c>
      <c r="N23" s="9" t="n">
        <f aca="false">1-(1-N22)^(1/12)</f>
        <v>0.00305066925404229</v>
      </c>
    </row>
    <row r="24" customFormat="false" ht="15" hidden="false" customHeight="true" outlineLevel="0" collapsed="false">
      <c r="B24" s="5" t="s">
        <v>61</v>
      </c>
      <c r="C24" s="18" t="n">
        <f aca="false">'Collateral Pool'!$C$5</f>
        <v>100000000</v>
      </c>
      <c r="D24" s="18" t="n">
        <f aca="false">C27</f>
        <v>99884586.8336182</v>
      </c>
      <c r="E24" s="18" t="n">
        <f aca="false">D27</f>
        <v>99743525.7975268</v>
      </c>
      <c r="F24" s="18" t="n">
        <f aca="false">E27</f>
        <v>99576686.3220502</v>
      </c>
      <c r="G24" s="18" t="n">
        <f aca="false">F27</f>
        <v>99383956.6302006</v>
      </c>
      <c r="H24" s="18" t="n">
        <f aca="false">G27</f>
        <v>99165244.0557849</v>
      </c>
      <c r="I24" s="18" t="n">
        <f aca="false">H27</f>
        <v>98920475.3407387</v>
      </c>
      <c r="J24" s="18" t="n">
        <f aca="false">I27</f>
        <v>98649596.9109447</v>
      </c>
      <c r="K24" s="18" t="n">
        <f aca="false">J27</f>
        <v>98352575.1298225</v>
      </c>
      <c r="L24" s="18" t="n">
        <f aca="false">K27</f>
        <v>98029396.5290074</v>
      </c>
      <c r="M24" s="18" t="n">
        <f aca="false">L27</f>
        <v>97680068.0154625</v>
      </c>
      <c r="N24" s="18" t="n">
        <f aca="false">M27</f>
        <v>97304617.054409</v>
      </c>
    </row>
    <row r="25" customFormat="false" ht="15" hidden="false" customHeight="true" outlineLevel="0" collapsed="false">
      <c r="B25" s="5" t="s">
        <v>78</v>
      </c>
      <c r="C25" s="18" t="n">
        <f aca="false">MAX(0,MIN('Collateral Pool'!$C$15-C24*'Collateral Pool'!$C$6/12,C24))</f>
        <v>90401.3568262986</v>
      </c>
      <c r="D25" s="18" t="n">
        <f aca="false">MAX(0,MIN('Collateral Pool'!$C$15-D24*'Collateral Pool'!$C$6/12,D24))</f>
        <v>91026.5114775335</v>
      </c>
      <c r="E25" s="18" t="n">
        <f aca="false">MAX(0,MIN('Collateral Pool'!$C$15-E24*'Collateral Pool'!$C$6/12,E24))</f>
        <v>91790.592089695</v>
      </c>
      <c r="F25" s="18" t="n">
        <f aca="false">MAX(0,MIN('Collateral Pool'!$C$15-F24*'Collateral Pool'!$C$6/12,F24))</f>
        <v>92694.3059151932</v>
      </c>
      <c r="G25" s="18" t="n">
        <f aca="false">MAX(0,MIN('Collateral Pool'!$C$15-G24*'Collateral Pool'!$C$6/12,G24))</f>
        <v>93738.258412712</v>
      </c>
      <c r="H25" s="18" t="n">
        <f aca="false">MAX(0,MIN('Collateral Pool'!$C$15-H24*'Collateral Pool'!$C$6/12,H24))</f>
        <v>94922.9515241303</v>
      </c>
      <c r="I25" s="18" t="n">
        <f aca="false">MAX(0,MIN('Collateral Pool'!$C$15-I24*'Collateral Pool'!$C$6/12,I24))</f>
        <v>96248.7820639637</v>
      </c>
      <c r="J25" s="18" t="n">
        <f aca="false">MAX(0,MIN('Collateral Pool'!$C$15-J24*'Collateral Pool'!$C$6/12,J24))</f>
        <v>97716.0402253484</v>
      </c>
      <c r="K25" s="18" t="n">
        <f aca="false">MAX(0,MIN('Collateral Pool'!$C$15-K24*'Collateral Pool'!$C$6/12,K24))</f>
        <v>99324.9082064265</v>
      </c>
      <c r="L25" s="18" t="n">
        <f aca="false">MAX(0,MIN('Collateral Pool'!$C$15-L24*'Collateral Pool'!$C$6/12,L24))</f>
        <v>101075.458960842</v>
      </c>
      <c r="M25" s="18" t="n">
        <f aca="false">MAX(0,MIN('Collateral Pool'!$C$15-M24*'Collateral Pool'!$C$6/12,M24))</f>
        <v>102967.655075877</v>
      </c>
      <c r="N25" s="18" t="n">
        <f aca="false">MAX(0,MIN('Collateral Pool'!$C$15-N24*'Collateral Pool'!$C$6/12,N24))</f>
        <v>105001.347781583</v>
      </c>
    </row>
    <row r="26" customFormat="false" ht="15" hidden="false" customHeight="true" outlineLevel="0" collapsed="false">
      <c r="B26" s="5" t="s">
        <v>79</v>
      </c>
      <c r="C26" s="18" t="n">
        <f aca="false">MAX(0,C24-C25)*C23</f>
        <v>25011.8095555159</v>
      </c>
      <c r="D26" s="18" t="n">
        <f aca="false">MAX(0,D24-D25)*D23</f>
        <v>50034.5246138363</v>
      </c>
      <c r="E26" s="18" t="n">
        <f aca="false">MAX(0,E24-E25)*E23</f>
        <v>75048.8833868588</v>
      </c>
      <c r="F26" s="18" t="n">
        <f aca="false">MAX(0,F24-F25)*F23</f>
        <v>100035.38593446</v>
      </c>
      <c r="G26" s="18" t="n">
        <f aca="false">MAX(0,G24-G25)*G23</f>
        <v>124974.316002971</v>
      </c>
      <c r="H26" s="18" t="n">
        <f aca="false">MAX(0,H24-H25)*H23</f>
        <v>149845.763522048</v>
      </c>
      <c r="I26" s="18" t="n">
        <f aca="false">MAX(0,I24-I25)*I23</f>
        <v>174629.647730122</v>
      </c>
      <c r="J26" s="18" t="n">
        <f aca="false">MAX(0,J24-J25)*J23</f>
        <v>199305.740896786</v>
      </c>
      <c r="K26" s="18" t="n">
        <f aca="false">MAX(0,K24-K25)*K23</f>
        <v>223853.692608744</v>
      </c>
      <c r="L26" s="18" t="n">
        <f aca="false">MAX(0,L24-L25)*L23</f>
        <v>248253.054583976</v>
      </c>
      <c r="M26" s="18" t="n">
        <f aca="false">MAX(0,M24-M25)*M23</f>
        <v>272483.305977637</v>
      </c>
      <c r="N26" s="18" t="n">
        <f aca="false">MAX(0,N24-N25)*N23</f>
        <v>296523.879140935</v>
      </c>
    </row>
    <row r="27" customFormat="false" ht="15" hidden="false" customHeight="true" outlineLevel="0" collapsed="false">
      <c r="B27" s="5" t="s">
        <v>64</v>
      </c>
      <c r="C27" s="18" t="n">
        <f aca="false">C24-C25-C26</f>
        <v>99884586.8336182</v>
      </c>
      <c r="D27" s="18" t="n">
        <f aca="false">D24-D25-D26</f>
        <v>99743525.7975268</v>
      </c>
      <c r="E27" s="18" t="n">
        <f aca="false">E24-E25-E26</f>
        <v>99576686.3220502</v>
      </c>
      <c r="F27" s="18" t="n">
        <f aca="false">F24-F25-F26</f>
        <v>99383956.6302006</v>
      </c>
      <c r="G27" s="18" t="n">
        <f aca="false">G24-G25-G26</f>
        <v>99165244.0557849</v>
      </c>
      <c r="H27" s="18" t="n">
        <f aca="false">H24-H25-H26</f>
        <v>98920475.3407387</v>
      </c>
      <c r="I27" s="18" t="n">
        <f aca="false">I24-I25-I26</f>
        <v>98649596.9109447</v>
      </c>
      <c r="J27" s="18" t="n">
        <f aca="false">J24-J25-J26</f>
        <v>98352575.1298225</v>
      </c>
      <c r="K27" s="18" t="n">
        <f aca="false">K24-K25-K26</f>
        <v>98029396.5290074</v>
      </c>
      <c r="L27" s="18" t="n">
        <f aca="false">L24-L25-L26</f>
        <v>97680068.0154625</v>
      </c>
      <c r="M27" s="18" t="n">
        <f aca="false">M24-M25-M26</f>
        <v>97304617.054409</v>
      </c>
      <c r="N27" s="18" t="n">
        <f aca="false">N24-N25-N26</f>
        <v>96903091.8274865</v>
      </c>
    </row>
    <row r="29" customFormat="false" ht="15" hidden="false" customHeight="true" outlineLevel="0" collapsed="false">
      <c r="B29" s="17" t="s">
        <v>82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49</v>
      </c>
    </row>
    <row r="30" customFormat="false" ht="15" hidden="false" customHeight="true" outlineLevel="0" collapsed="false">
      <c r="B30" s="5" t="s">
        <v>76</v>
      </c>
      <c r="C30" s="9" t="n">
        <f aca="false">MIN(0.06,0.002*1)*2</f>
        <v>0.004</v>
      </c>
      <c r="D30" s="9" t="n">
        <f aca="false">MIN(0.06,0.002*2)*2</f>
        <v>0.008</v>
      </c>
      <c r="E30" s="9" t="n">
        <f aca="false">MIN(0.06,0.002*3)*2</f>
        <v>0.012</v>
      </c>
      <c r="F30" s="9" t="n">
        <f aca="false">MIN(0.06,0.002*4)*2</f>
        <v>0.016</v>
      </c>
      <c r="G30" s="9" t="n">
        <f aca="false">MIN(0.06,0.002*5)*2</f>
        <v>0.02</v>
      </c>
      <c r="H30" s="9" t="n">
        <f aca="false">MIN(0.06,0.002*6)*2</f>
        <v>0.024</v>
      </c>
      <c r="I30" s="9" t="n">
        <f aca="false">MIN(0.06,0.002*7)*2</f>
        <v>0.028</v>
      </c>
      <c r="J30" s="9" t="n">
        <f aca="false">MIN(0.06,0.002*8)*2</f>
        <v>0.032</v>
      </c>
      <c r="K30" s="9" t="n">
        <f aca="false">MIN(0.06,0.002*9)*2</f>
        <v>0.036</v>
      </c>
      <c r="L30" s="9" t="n">
        <f aca="false">MIN(0.06,0.002*10)*2</f>
        <v>0.04</v>
      </c>
      <c r="M30" s="9" t="n">
        <f aca="false">MIN(0.06,0.002*11)*2</f>
        <v>0.044</v>
      </c>
      <c r="N30" s="9" t="n">
        <f aca="false">MIN(0.06,0.002*12)*2</f>
        <v>0.048</v>
      </c>
    </row>
    <row r="31" customFormat="false" ht="15" hidden="false" customHeight="true" outlineLevel="0" collapsed="false">
      <c r="B31" s="5" t="s">
        <v>77</v>
      </c>
      <c r="C31" s="9" t="n">
        <f aca="false">1-(1-C30)^(1/12)</f>
        <v>0.000333946010742214</v>
      </c>
      <c r="D31" s="9" t="n">
        <f aca="false">1-(1-D30)^(1/12)</f>
        <v>0.000669123678278649</v>
      </c>
      <c r="E31" s="9" t="n">
        <f aca="false">1-(1-E30)^(1/12)</f>
        <v>0.00100554253912766</v>
      </c>
      <c r="F31" s="9" t="n">
        <f aca="false">1-(1-F30)^(1/12)</f>
        <v>0.00134321224262823</v>
      </c>
      <c r="G31" s="9" t="n">
        <f aca="false">1-(1-G30)^(1/12)</f>
        <v>0.00168214255273957</v>
      </c>
      <c r="H31" s="9" t="n">
        <f aca="false">1-(1-H30)^(1/12)</f>
        <v>0.00202234334987717</v>
      </c>
      <c r="I31" s="9" t="n">
        <f aca="false">1-(1-I30)^(1/12)</f>
        <v>0.00236382463278573</v>
      </c>
      <c r="J31" s="9" t="n">
        <f aca="false">1-(1-J30)^(1/12)</f>
        <v>0.00270659652044936</v>
      </c>
      <c r="K31" s="9" t="n">
        <f aca="false">1-(1-K30)^(1/12)</f>
        <v>0.00305066925404229</v>
      </c>
      <c r="L31" s="9" t="n">
        <f aca="false">1-(1-L30)^(1/12)</f>
        <v>0.00339605319891756</v>
      </c>
      <c r="M31" s="9" t="n">
        <f aca="false">1-(1-M30)^(1/12)</f>
        <v>0.00374275884663811</v>
      </c>
      <c r="N31" s="9" t="n">
        <f aca="false">1-(1-N30)^(1/12)</f>
        <v>0.00409079681704849</v>
      </c>
    </row>
    <row r="32" customFormat="false" ht="15" hidden="false" customHeight="true" outlineLevel="0" collapsed="false">
      <c r="B32" s="5" t="s">
        <v>61</v>
      </c>
      <c r="C32" s="18" t="n">
        <f aca="false">'Collateral Pool'!$C$5</f>
        <v>100000000</v>
      </c>
      <c r="D32" s="18" t="n">
        <f aca="false">C35</f>
        <v>99876234.231272</v>
      </c>
      <c r="E32" s="18" t="n">
        <f aca="false">D35</f>
        <v>99718393.8615778</v>
      </c>
      <c r="F32" s="18" t="n">
        <f aca="false">E35</f>
        <v>99526288.4874379</v>
      </c>
      <c r="G32" s="18" t="n">
        <f aca="false">F35</f>
        <v>99299761.1389</v>
      </c>
      <c r="H32" s="18" t="n">
        <f aca="false">G35</f>
        <v>99038688.9161568</v>
      </c>
      <c r="I32" s="18" t="n">
        <f aca="false">H35</f>
        <v>98742983.5768465</v>
      </c>
      <c r="J32" s="18" t="n">
        <f aca="false">I35</f>
        <v>98412592.0720231</v>
      </c>
      <c r="K32" s="18" t="n">
        <f aca="false">J35</f>
        <v>98047497.0288751</v>
      </c>
      <c r="L32" s="18" t="n">
        <f aca="false">K35</f>
        <v>97647717.1783608</v>
      </c>
      <c r="M32" s="18" t="n">
        <f aca="false">L35</f>
        <v>97213307.7260307</v>
      </c>
      <c r="N32" s="18" t="n">
        <f aca="false">M35</f>
        <v>96744360.6644139</v>
      </c>
    </row>
    <row r="33" customFormat="false" ht="15" hidden="false" customHeight="true" outlineLevel="0" collapsed="false">
      <c r="B33" s="5" t="s">
        <v>78</v>
      </c>
      <c r="C33" s="18" t="n">
        <f aca="false">MAX(0,MIN('Collateral Pool'!$C$15-C32*'Collateral Pool'!$C$6/12,C32))</f>
        <v>90401.3568262986</v>
      </c>
      <c r="D33" s="18" t="n">
        <f aca="false">MAX(0,MIN('Collateral Pool'!$C$15-D32*'Collateral Pool'!$C$6/12,D32))</f>
        <v>91071.7547402422</v>
      </c>
      <c r="E33" s="18" t="n">
        <f aca="false">MAX(0,MIN('Collateral Pool'!$C$15-E32*'Collateral Pool'!$C$6/12,E32))</f>
        <v>91926.723409419</v>
      </c>
      <c r="F33" s="18" t="n">
        <f aca="false">MAX(0,MIN('Collateral Pool'!$C$15-F32*'Collateral Pool'!$C$6/12,F32))</f>
        <v>92967.2941860098</v>
      </c>
      <c r="G33" s="18" t="n">
        <f aca="false">MAX(0,MIN('Collateral Pool'!$C$15-G32*'Collateral Pool'!$C$6/12,G32))</f>
        <v>94194.3173239238</v>
      </c>
      <c r="H33" s="18" t="n">
        <f aca="false">MAX(0,MIN('Collateral Pool'!$C$15-H32*'Collateral Pool'!$C$6/12,H32))</f>
        <v>95608.4585304491</v>
      </c>
      <c r="I33" s="18" t="n">
        <f aca="false">MAX(0,MIN('Collateral Pool'!$C$15-I32*'Collateral Pool'!$C$6/12,I32))</f>
        <v>97210.1957850466</v>
      </c>
      <c r="J33" s="18" t="n">
        <f aca="false">MAX(0,MIN('Collateral Pool'!$C$15-J32*'Collateral Pool'!$C$6/12,J32))</f>
        <v>98999.8164361734</v>
      </c>
      <c r="K33" s="18" t="n">
        <f aca="false">MAX(0,MIN('Collateral Pool'!$C$15-K32*'Collateral Pool'!$C$6/12,K32))</f>
        <v>100977.414586558</v>
      </c>
      <c r="L33" s="18" t="n">
        <f aca="false">MAX(0,MIN('Collateral Pool'!$C$15-L32*'Collateral Pool'!$C$6/12,L32))</f>
        <v>103142.888776844</v>
      </c>
      <c r="M33" s="18" t="n">
        <f aca="false">MAX(0,MIN('Collateral Pool'!$C$15-M32*'Collateral Pool'!$C$6/12,M32))</f>
        <v>105495.939976965</v>
      </c>
      <c r="N33" s="18" t="n">
        <f aca="false">MAX(0,MIN('Collateral Pool'!$C$15-N32*'Collateral Pool'!$C$6/12,N32))</f>
        <v>108036.069894057</v>
      </c>
    </row>
    <row r="34" customFormat="false" ht="15" hidden="false" customHeight="true" outlineLevel="0" collapsed="false">
      <c r="B34" s="5" t="s">
        <v>79</v>
      </c>
      <c r="C34" s="18" t="n">
        <f aca="false">MAX(0,C32-C33)*C31</f>
        <v>33364.4119017436</v>
      </c>
      <c r="D34" s="18" t="n">
        <f aca="false">MAX(0,D32-D33)*D31</f>
        <v>66768.6149539295</v>
      </c>
      <c r="E34" s="18" t="n">
        <f aca="false">MAX(0,E32-E33)*E31</f>
        <v>100178.650730432</v>
      </c>
      <c r="F34" s="18" t="n">
        <f aca="false">MAX(0,F32-F33)*F31</f>
        <v>133560.054351961</v>
      </c>
      <c r="G34" s="18" t="n">
        <f aca="false">MAX(0,G32-G33)*G31</f>
        <v>166877.905419222</v>
      </c>
      <c r="H34" s="18" t="n">
        <f aca="false">MAX(0,H32-H33)*H31</f>
        <v>200096.880779842</v>
      </c>
      <c r="I34" s="18" t="n">
        <f aca="false">MAX(0,I32-I33)*I31</f>
        <v>233181.309038352</v>
      </c>
      <c r="J34" s="18" t="n">
        <f aca="false">MAX(0,J32-J33)*J31</f>
        <v>266095.226711848</v>
      </c>
      <c r="K34" s="18" t="n">
        <f aca="false">MAX(0,K32-K33)*K31</f>
        <v>298802.43592776</v>
      </c>
      <c r="L34" s="18" t="n">
        <f aca="false">MAX(0,L32-L33)*L31</f>
        <v>331266.563553193</v>
      </c>
      <c r="M34" s="18" t="n">
        <f aca="false">MAX(0,M32-M33)*M31</f>
        <v>363451.121639921</v>
      </c>
      <c r="N34" s="18" t="n">
        <f aca="false">MAX(0,N32-N33)*N31</f>
        <v>395319.569062527</v>
      </c>
    </row>
    <row r="35" customFormat="false" ht="15" hidden="false" customHeight="true" outlineLevel="0" collapsed="false">
      <c r="B35" s="5" t="s">
        <v>64</v>
      </c>
      <c r="C35" s="18" t="n">
        <f aca="false">C32-C33-C34</f>
        <v>99876234.231272</v>
      </c>
      <c r="D35" s="18" t="n">
        <f aca="false">D32-D33-D34</f>
        <v>99718393.8615778</v>
      </c>
      <c r="E35" s="18" t="n">
        <f aca="false">E32-E33-E34</f>
        <v>99526288.4874379</v>
      </c>
      <c r="F35" s="18" t="n">
        <f aca="false">F32-F33-F34</f>
        <v>99299761.1389</v>
      </c>
      <c r="G35" s="18" t="n">
        <f aca="false">G32-G33-G34</f>
        <v>99038688.9161568</v>
      </c>
      <c r="H35" s="18" t="n">
        <f aca="false">H32-H33-H34</f>
        <v>98742983.5768465</v>
      </c>
      <c r="I35" s="18" t="n">
        <f aca="false">I32-I33-I34</f>
        <v>98412592.0720231</v>
      </c>
      <c r="J35" s="18" t="n">
        <f aca="false">J32-J33-J34</f>
        <v>98047497.0288751</v>
      </c>
      <c r="K35" s="18" t="n">
        <f aca="false">K32-K33-K34</f>
        <v>97647717.1783608</v>
      </c>
      <c r="L35" s="18" t="n">
        <f aca="false">L32-L33-L34</f>
        <v>97213307.7260307</v>
      </c>
      <c r="M35" s="18" t="n">
        <f aca="false">M32-M33-M34</f>
        <v>96744360.6644139</v>
      </c>
      <c r="N35" s="18" t="n">
        <f aca="false">N32-N33-N34</f>
        <v>96241005.0254573</v>
      </c>
    </row>
    <row r="37" customFormat="false" ht="15" hidden="false" customHeight="true" outlineLevel="0" collapsed="false">
      <c r="B37" s="17" t="s">
        <v>83</v>
      </c>
      <c r="C37" s="12" t="s">
        <v>38</v>
      </c>
      <c r="D37" s="12" t="s">
        <v>39</v>
      </c>
      <c r="E37" s="12" t="s">
        <v>40</v>
      </c>
      <c r="F37" s="12" t="s">
        <v>41</v>
      </c>
      <c r="G37" s="12" t="s">
        <v>42</v>
      </c>
      <c r="H37" s="12" t="s">
        <v>43</v>
      </c>
      <c r="I37" s="12" t="s">
        <v>44</v>
      </c>
      <c r="J37" s="12" t="s">
        <v>45</v>
      </c>
      <c r="K37" s="12" t="s">
        <v>46</v>
      </c>
      <c r="L37" s="12" t="s">
        <v>47</v>
      </c>
      <c r="M37" s="12" t="s">
        <v>48</v>
      </c>
      <c r="N37" s="12" t="s">
        <v>49</v>
      </c>
    </row>
    <row r="38" customFormat="false" ht="15" hidden="false" customHeight="true" outlineLevel="0" collapsed="false">
      <c r="B38" s="5" t="s">
        <v>76</v>
      </c>
      <c r="C38" s="9" t="n">
        <f aca="false">MIN(0.06,0.002*1)*3</f>
        <v>0.006</v>
      </c>
      <c r="D38" s="9" t="n">
        <f aca="false">MIN(0.06,0.002*2)*3</f>
        <v>0.012</v>
      </c>
      <c r="E38" s="9" t="n">
        <f aca="false">MIN(0.06,0.002*3)*3</f>
        <v>0.018</v>
      </c>
      <c r="F38" s="9" t="n">
        <f aca="false">MIN(0.06,0.002*4)*3</f>
        <v>0.024</v>
      </c>
      <c r="G38" s="9" t="n">
        <f aca="false">MIN(0.06,0.002*5)*3</f>
        <v>0.03</v>
      </c>
      <c r="H38" s="9" t="n">
        <f aca="false">MIN(0.06,0.002*6)*3</f>
        <v>0.036</v>
      </c>
      <c r="I38" s="9" t="n">
        <f aca="false">MIN(0.06,0.002*7)*3</f>
        <v>0.042</v>
      </c>
      <c r="J38" s="9" t="n">
        <f aca="false">MIN(0.06,0.002*8)*3</f>
        <v>0.048</v>
      </c>
      <c r="K38" s="9" t="n">
        <f aca="false">MIN(0.06,0.002*9)*3</f>
        <v>0.054</v>
      </c>
      <c r="L38" s="9" t="n">
        <f aca="false">MIN(0.06,0.002*10)*3</f>
        <v>0.06</v>
      </c>
      <c r="M38" s="9" t="n">
        <f aca="false">MIN(0.06,0.002*11)*3</f>
        <v>0.066</v>
      </c>
      <c r="N38" s="9" t="n">
        <f aca="false">MIN(0.06,0.002*12)*3</f>
        <v>0.072</v>
      </c>
    </row>
    <row r="39" customFormat="false" ht="15" hidden="false" customHeight="true" outlineLevel="0" collapsed="false">
      <c r="B39" s="5" t="s">
        <v>77</v>
      </c>
      <c r="C39" s="9" t="n">
        <f aca="false">1-(1-C38)^(1/12)</f>
        <v>0.000501380294002152</v>
      </c>
      <c r="D39" s="9" t="n">
        <f aca="false">1-(1-D38)^(1/12)</f>
        <v>0.00100554253912766</v>
      </c>
      <c r="E39" s="9" t="n">
        <f aca="false">1-(1-E38)^(1/12)</f>
        <v>0.00151251920708273</v>
      </c>
      <c r="F39" s="9" t="n">
        <f aca="false">1-(1-F38)^(1/12)</f>
        <v>0.00202234334987717</v>
      </c>
      <c r="G39" s="9" t="n">
        <f aca="false">1-(1-G38)^(1/12)</f>
        <v>0.00253504861383669</v>
      </c>
      <c r="H39" s="9" t="n">
        <f aca="false">1-(1-H38)^(1/12)</f>
        <v>0.00305066925404229</v>
      </c>
      <c r="I39" s="9" t="n">
        <f aca="false">1-(1-I38)^(1/12)</f>
        <v>0.00356924014921312</v>
      </c>
      <c r="J39" s="9" t="n">
        <f aca="false">1-(1-J38)^(1/12)</f>
        <v>0.00409079681704849</v>
      </c>
      <c r="K39" s="9" t="n">
        <f aca="false">1-(1-K38)^(1/12)</f>
        <v>0.00461537543004764</v>
      </c>
      <c r="L39" s="9" t="n">
        <f aca="false">1-(1-L38)^(1/12)</f>
        <v>0.00514301283182295</v>
      </c>
      <c r="M39" s="9" t="n">
        <f aca="false">1-(1-M38)^(1/12)</f>
        <v>0.00567374655392749</v>
      </c>
      <c r="N39" s="9" t="n">
        <f aca="false">1-(1-N38)^(1/12)</f>
        <v>0.00620761483321575</v>
      </c>
    </row>
    <row r="40" customFormat="false" ht="15" hidden="false" customHeight="true" outlineLevel="0" collapsed="false">
      <c r="B40" s="5" t="s">
        <v>61</v>
      </c>
      <c r="C40" s="18" t="n">
        <f aca="false">'Collateral Pool'!$C$5</f>
        <v>100000000</v>
      </c>
      <c r="D40" s="18" t="n">
        <f aca="false">C43</f>
        <v>99859505.9392324</v>
      </c>
      <c r="E40" s="18" t="n">
        <f aca="false">D43</f>
        <v>99668022.2593894</v>
      </c>
      <c r="F40" s="18" t="n">
        <f aca="false">E43</f>
        <v>99425212.345422</v>
      </c>
      <c r="G40" s="18" t="n">
        <f aca="false">F43</f>
        <v>99130814.7574835</v>
      </c>
      <c r="H40" s="18" t="n">
        <f aca="false">G43</f>
        <v>98784644.9864505</v>
      </c>
      <c r="I40" s="18" t="n">
        <f aca="false">H43</f>
        <v>98386597.0451257</v>
      </c>
      <c r="J40" s="18" t="n">
        <f aca="false">I43</f>
        <v>97936644.8866673</v>
      </c>
      <c r="K40" s="18" t="n">
        <f aca="false">J43</f>
        <v>97434843.6422038</v>
      </c>
      <c r="L40" s="18" t="n">
        <f aca="false">K43</f>
        <v>96881330.6700451</v>
      </c>
      <c r="M40" s="18" t="n">
        <f aca="false">L43</f>
        <v>96276326.4094</v>
      </c>
      <c r="N40" s="18" t="n">
        <f aca="false">M43</f>
        <v>95620135.0320474</v>
      </c>
    </row>
    <row r="41" customFormat="false" ht="15" hidden="false" customHeight="true" outlineLevel="0" collapsed="false">
      <c r="B41" s="5" t="s">
        <v>78</v>
      </c>
      <c r="C41" s="18" t="n">
        <f aca="false">MAX(0,MIN('Collateral Pool'!$C$15-C40*'Collateral Pool'!$C$6/12,C40))</f>
        <v>90401.3568262986</v>
      </c>
      <c r="D41" s="18" t="n">
        <f aca="false">MAX(0,MIN('Collateral Pool'!$C$15-D40*'Collateral Pool'!$C$6/12,D40))</f>
        <v>91162.3663221233</v>
      </c>
      <c r="E41" s="18" t="n">
        <f aca="false">MAX(0,MIN('Collateral Pool'!$C$15-E40*'Collateral Pool'!$C$6/12,E40))</f>
        <v>92199.5695879395</v>
      </c>
      <c r="F41" s="18" t="n">
        <f aca="false">MAX(0,MIN('Collateral Pool'!$C$15-F40*'Collateral Pool'!$C$6/12,F40))</f>
        <v>93514.7899552627</v>
      </c>
      <c r="G41" s="18" t="n">
        <f aca="false">MAX(0,MIN('Collateral Pool'!$C$15-G40*'Collateral Pool'!$C$6/12,G40))</f>
        <v>95109.4435565965</v>
      </c>
      <c r="H41" s="18" t="n">
        <f aca="false">MAX(0,MIN('Collateral Pool'!$C$15-H40*'Collateral Pool'!$C$6/12,H40))</f>
        <v>96984.5298163586</v>
      </c>
      <c r="I41" s="18" t="n">
        <f aca="false">MAX(0,MIN('Collateral Pool'!$C$15-I40*'Collateral Pool'!$C$6/12,I40))</f>
        <v>99140.6228318679</v>
      </c>
      <c r="J41" s="18" t="n">
        <f aca="false">MAX(0,MIN('Collateral Pool'!$C$15-J40*'Collateral Pool'!$C$6/12,J40))</f>
        <v>101577.863690184</v>
      </c>
      <c r="K41" s="18" t="n">
        <f aca="false">MAX(0,MIN('Collateral Pool'!$C$15-K40*'Collateral Pool'!$C$6/12,K40))</f>
        <v>104295.953764361</v>
      </c>
      <c r="L41" s="18" t="n">
        <f aca="false">MAX(0,MIN('Collateral Pool'!$C$15-L40*'Collateral Pool'!$C$6/12,L40))</f>
        <v>107294.149030221</v>
      </c>
      <c r="M41" s="18" t="n">
        <f aca="false">MAX(0,MIN('Collateral Pool'!$C$15-M40*'Collateral Pool'!$C$6/12,M40))</f>
        <v>110571.255442048</v>
      </c>
      <c r="N41" s="18" t="n">
        <f aca="false">MAX(0,MIN('Collateral Pool'!$C$15-N40*'Collateral Pool'!$C$6/12,N40))</f>
        <v>114125.625402709</v>
      </c>
    </row>
    <row r="42" customFormat="false" ht="15" hidden="false" customHeight="true" outlineLevel="0" collapsed="false">
      <c r="B42" s="5" t="s">
        <v>79</v>
      </c>
      <c r="C42" s="18" t="n">
        <f aca="false">MAX(0,C40-C41)*C39</f>
        <v>50092.7039413514</v>
      </c>
      <c r="D42" s="18" t="n">
        <f aca="false">MAX(0,D40-D41)*D39</f>
        <v>100321.313520865</v>
      </c>
      <c r="E42" s="18" t="n">
        <f aca="false">MAX(0,E40-E41)*E39</f>
        <v>150610.344379389</v>
      </c>
      <c r="F42" s="18" t="n">
        <f aca="false">MAX(0,F40-F41)*F39</f>
        <v>200882.797983308</v>
      </c>
      <c r="G42" s="18" t="n">
        <f aca="false">MAX(0,G40-G41)*G39</f>
        <v>251060.327476409</v>
      </c>
      <c r="H42" s="18" t="n">
        <f aca="false">MAX(0,H40-H41)*H39</f>
        <v>301063.411508419</v>
      </c>
      <c r="I42" s="18" t="n">
        <f aca="false">MAX(0,I40-I41)*I39</f>
        <v>350811.535626486</v>
      </c>
      <c r="J42" s="18" t="n">
        <f aca="false">MAX(0,J40-J41)*J39</f>
        <v>400223.380773321</v>
      </c>
      <c r="K42" s="18" t="n">
        <f aca="false">MAX(0,K40-K41)*K39</f>
        <v>449217.018394304</v>
      </c>
      <c r="L42" s="18" t="n">
        <f aca="false">MAX(0,L40-L41)*L39</f>
        <v>497710.111614882</v>
      </c>
      <c r="M42" s="18" t="n">
        <f aca="false">MAX(0,M40-M41)*M39</f>
        <v>545620.121910604</v>
      </c>
      <c r="N42" s="18" t="n">
        <f aca="false">MAX(0,N40-N41)*N39</f>
        <v>592864.52065393</v>
      </c>
    </row>
    <row r="43" customFormat="false" ht="15" hidden="false" customHeight="true" outlineLevel="0" collapsed="false">
      <c r="B43" s="5" t="s">
        <v>64</v>
      </c>
      <c r="C43" s="18" t="n">
        <f aca="false">C40-C41-C42</f>
        <v>99859505.9392324</v>
      </c>
      <c r="D43" s="18" t="n">
        <f aca="false">D40-D41-D42</f>
        <v>99668022.2593894</v>
      </c>
      <c r="E43" s="18" t="n">
        <f aca="false">E40-E41-E42</f>
        <v>99425212.345422</v>
      </c>
      <c r="F43" s="18" t="n">
        <f aca="false">F40-F41-F42</f>
        <v>99130814.7574835</v>
      </c>
      <c r="G43" s="18" t="n">
        <f aca="false">G40-G41-G42</f>
        <v>98784644.9864505</v>
      </c>
      <c r="H43" s="18" t="n">
        <f aca="false">H40-H41-H42</f>
        <v>98386597.0451257</v>
      </c>
      <c r="I43" s="18" t="n">
        <f aca="false">I40-I41-I42</f>
        <v>97936644.8866673</v>
      </c>
      <c r="J43" s="18" t="n">
        <f aca="false">J40-J41-J42</f>
        <v>97434843.6422038</v>
      </c>
      <c r="K43" s="18" t="n">
        <f aca="false">K40-K41-K42</f>
        <v>96881330.6700451</v>
      </c>
      <c r="L43" s="18" t="n">
        <f aca="false">L40-L41-L42</f>
        <v>96276326.4094</v>
      </c>
      <c r="M43" s="18" t="n">
        <f aca="false">M40-M41-M42</f>
        <v>95620135.0320474</v>
      </c>
      <c r="N43" s="18" t="n">
        <f aca="false">N40-N41-N42</f>
        <v>94913144.8859907</v>
      </c>
    </row>
    <row r="46" customFormat="false" ht="15" hidden="false" customHeight="true" outlineLevel="0" collapsed="false">
      <c r="B46" s="17" t="s">
        <v>84</v>
      </c>
    </row>
    <row r="47" customFormat="false" ht="15" hidden="false" customHeight="true" outlineLevel="0" collapsed="false">
      <c r="B47" s="12" t="s">
        <v>85</v>
      </c>
      <c r="C47" s="12" t="s">
        <v>86</v>
      </c>
    </row>
    <row r="48" customFormat="false" ht="15" hidden="false" customHeight="true" outlineLevel="0" collapsed="false">
      <c r="B48" s="5" t="s">
        <v>75</v>
      </c>
      <c r="C48" s="19" t="n">
        <f aca="false">IFERROR((SUMPRODUCT(COLUMN(C9:N9)-COLUMN(C9)+1,C9:N9+C10:N10))/(SUM(C9:N9)+SUM(C10:N10))/12,"-")</f>
        <v>0.602120440726185</v>
      </c>
    </row>
    <row r="49" customFormat="false" ht="15" hidden="false" customHeight="true" outlineLevel="0" collapsed="false">
      <c r="B49" s="5" t="s">
        <v>80</v>
      </c>
      <c r="C49" s="19" t="n">
        <f aca="false">IFERROR((SUMPRODUCT(COLUMN(C17:N17)-COLUMN(C17)+1,C17:N17+C18:N18))/(SUM(C17:N17)+SUM(C18:N18))/12,"-")</f>
        <v>0.627388779463809</v>
      </c>
    </row>
    <row r="50" customFormat="false" ht="15" hidden="false" customHeight="true" outlineLevel="0" collapsed="false">
      <c r="B50" s="5" t="s">
        <v>81</v>
      </c>
      <c r="C50" s="19" t="n">
        <f aca="false">IFERROR((SUMPRODUCT(COLUMN(C25:N25)-COLUMN(C25)+1,C25:N25+C26:N26))/(SUM(C25:N25)+SUM(C26:N26))/12,"-")</f>
        <v>0.641866698466114</v>
      </c>
    </row>
    <row r="51" customFormat="false" ht="15" hidden="false" customHeight="true" outlineLevel="0" collapsed="false">
      <c r="B51" s="5" t="s">
        <v>82</v>
      </c>
      <c r="C51" s="19" t="n">
        <f aca="false">IFERROR((SUMPRODUCT(COLUMN(C33:N33)-COLUMN(C33)+1,C33:N33+C34:N34))/(SUM(C33:N33)+SUM(C34:N34))/12,"-")</f>
        <v>0.651232682657435</v>
      </c>
    </row>
    <row r="52" customFormat="false" ht="15" hidden="false" customHeight="true" outlineLevel="0" collapsed="false">
      <c r="B52" s="5" t="s">
        <v>83</v>
      </c>
      <c r="C52" s="19" t="n">
        <f aca="false">IFERROR((SUMPRODUCT(COLUMN(C41:N41)-COLUMN(C41)+1,C41:N41+C42:N42))/(SUM(C41:N41)+SUM(C42:N42))/12,"-")</f>
        <v>0.662595690838996</v>
      </c>
    </row>
    <row r="54" customFormat="false" ht="15" hidden="false" customHeight="true" outlineLevel="0" collapsed="false">
      <c r="B54" s="1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88</v>
      </c>
    </row>
    <row r="3" customFormat="false" ht="15" hidden="false" customHeight="true" outlineLevel="0" collapsed="false">
      <c r="B3" s="10" t="s">
        <v>89</v>
      </c>
    </row>
    <row r="5" customFormat="false" ht="15" hidden="false" customHeight="true" outlineLevel="0" collapsed="false">
      <c r="B5" s="12" t="s">
        <v>90</v>
      </c>
      <c r="C5" s="12" t="s">
        <v>91</v>
      </c>
      <c r="D5" s="12" t="s">
        <v>92</v>
      </c>
      <c r="E5" s="12" t="s">
        <v>93</v>
      </c>
    </row>
    <row r="6" customFormat="false" ht="15" hidden="false" customHeight="true" outlineLevel="0" collapsed="false">
      <c r="B6" s="21" t="s">
        <v>94</v>
      </c>
      <c r="C6" s="21" t="s">
        <v>95</v>
      </c>
      <c r="D6" s="21" t="s">
        <v>96</v>
      </c>
      <c r="E6" s="22" t="s">
        <v>97</v>
      </c>
    </row>
    <row r="7" customFormat="false" ht="15" hidden="false" customHeight="true" outlineLevel="0" collapsed="false">
      <c r="B7" s="21" t="s">
        <v>98</v>
      </c>
      <c r="C7" s="21" t="s">
        <v>99</v>
      </c>
      <c r="D7" s="21" t="s">
        <v>100</v>
      </c>
      <c r="E7" s="22" t="s">
        <v>101</v>
      </c>
    </row>
    <row r="8" customFormat="false" ht="15" hidden="false" customHeight="true" outlineLevel="0" collapsed="false">
      <c r="B8" s="21" t="s">
        <v>102</v>
      </c>
      <c r="C8" s="21" t="s">
        <v>103</v>
      </c>
      <c r="D8" s="21" t="s">
        <v>100</v>
      </c>
      <c r="E8" s="22" t="s">
        <v>104</v>
      </c>
    </row>
    <row r="9" customFormat="false" ht="15" hidden="false" customHeight="true" outlineLevel="0" collapsed="false">
      <c r="B9" s="21" t="s">
        <v>105</v>
      </c>
      <c r="C9" s="21" t="s">
        <v>106</v>
      </c>
      <c r="D9" s="21" t="s">
        <v>100</v>
      </c>
      <c r="E9" s="2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5" hidden="false" customHeight="true" outlineLevel="0" collapsed="false">
      <c r="B2" s="2" t="s">
        <v>108</v>
      </c>
    </row>
    <row r="3" customFormat="false" ht="15" hidden="false" customHeight="true" outlineLevel="0" collapsed="false">
      <c r="B3" s="10" t="s">
        <v>109</v>
      </c>
    </row>
    <row r="5" customFormat="false" ht="15" hidden="false" customHeight="true" outlineLevel="0" collapsed="false">
      <c r="B5" s="12" t="s">
        <v>110</v>
      </c>
      <c r="C5" s="12" t="s">
        <v>111</v>
      </c>
      <c r="D5" s="12" t="s">
        <v>112</v>
      </c>
    </row>
    <row r="6" customFormat="false" ht="15" hidden="false" customHeight="true" outlineLevel="0" collapsed="false">
      <c r="B6" s="21" t="s">
        <v>113</v>
      </c>
      <c r="C6" s="23" t="b">
        <f aca="false">IF(AND('PSA Prepayment Sensitivity'!N19&lt;='PSA Prepayment Sensitivity'!N11,'PSA Prepayment Sensitivity'!N27&lt;='PSA Prepayment Sensitivity'!N19,'PSA Prepayment Sensitivity'!N35&lt;='PSA Prepayment Sensitivity'!N27,'PSA Prepayment Sensitivity'!N43&lt;='PSA Prepayment Sensitivity'!N35),TRUE(),FALSE())</f>
        <v>1</v>
      </c>
      <c r="D6" s="22" t="s">
        <v>114</v>
      </c>
    </row>
    <row r="7" customFormat="false" ht="15" hidden="false" customHeight="true" outlineLevel="0" collapsed="false">
      <c r="B7" s="21" t="s">
        <v>115</v>
      </c>
      <c r="C7" s="24" t="n">
        <f aca="false">'Tranche Cash Flow Waterfall'!C58</f>
        <v>-3.57977114617825E-008</v>
      </c>
      <c r="D7" s="22" t="s">
        <v>116</v>
      </c>
    </row>
    <row r="8" customFormat="false" ht="15" hidden="false" customHeight="true" outlineLevel="0" collapsed="false">
      <c r="B8" s="21" t="s">
        <v>117</v>
      </c>
      <c r="C8" s="23" t="b">
        <f aca="false">IF(AND('Tranche Cash Flow Waterfall'!C46&lt;='Tranche Cash Flow Waterfall'!C47,'Tranche Cash Flow Waterfall'!C47&lt;='Tranche Cash Flow Waterfall'!C48,'Tranche Cash Flow Waterfall'!C48&lt;='Tranche Cash Flow Waterfall'!C49,'Tranche Cash Flow Waterfall'!C49&lt;='Tranche Cash Flow Waterfall'!C50),TRUE(),"see note -- truncated 12-mo window can distort ordering")</f>
        <v>1</v>
      </c>
      <c r="D8" s="22" t="s">
        <v>118</v>
      </c>
    </row>
    <row r="9" customFormat="false" ht="15" hidden="false" customHeight="true" outlineLevel="0" collapsed="false">
      <c r="B9" s="21" t="s">
        <v>119</v>
      </c>
      <c r="C9" s="23" t="b">
        <f aca="false">IF(AND(Waterfall!F5&gt;=Waterfall!F6,Waterfall!F6&gt;=Waterfall!F7,Waterfall!F7&gt;=Waterfall!F8),TRUE(),FALSE())</f>
        <v>1</v>
      </c>
      <c r="D9" s="22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121</v>
      </c>
    </row>
    <row r="4" customFormat="false" ht="15" hidden="false" customHeight="true" outlineLevel="0" collapsed="false">
      <c r="B4" s="12" t="s">
        <v>122</v>
      </c>
      <c r="C4" s="12" t="s">
        <v>123</v>
      </c>
      <c r="D4" s="12" t="s">
        <v>124</v>
      </c>
      <c r="E4" s="12" t="s">
        <v>125</v>
      </c>
      <c r="F4" s="12" t="s">
        <v>126</v>
      </c>
    </row>
    <row r="5" customFormat="false" ht="15" hidden="false" customHeight="true" outlineLevel="0" collapsed="false">
      <c r="B5" s="25"/>
      <c r="C5" s="25"/>
      <c r="D5" s="25"/>
      <c r="E5" s="25"/>
      <c r="F5" s="25"/>
    </row>
    <row r="6" customFormat="false" ht="15" hidden="false" customHeight="true" outlineLevel="0" collapsed="false">
      <c r="B6" s="25"/>
      <c r="C6" s="25"/>
      <c r="D6" s="25"/>
      <c r="E6" s="25"/>
      <c r="F6" s="25"/>
    </row>
    <row r="7" customFormat="false" ht="15" hidden="false" customHeight="true" outlineLevel="0" collapsed="false">
      <c r="B7" s="25"/>
      <c r="C7" s="25"/>
      <c r="D7" s="25"/>
      <c r="E7" s="25"/>
      <c r="F7" s="25"/>
    </row>
    <row r="8" customFormat="false" ht="15" hidden="false" customHeight="true" outlineLevel="0" collapsed="false">
      <c r="B8" s="25"/>
      <c r="C8" s="25"/>
      <c r="D8" s="25"/>
      <c r="E8" s="25"/>
      <c r="F8" s="25"/>
    </row>
    <row r="9" customFormat="false" ht="15" hidden="false" customHeight="true" outlineLevel="0" collapsed="false">
      <c r="B9" s="25"/>
      <c r="C9" s="25"/>
      <c r="D9" s="25"/>
      <c r="E9" s="25"/>
      <c r="F9" s="25"/>
    </row>
    <row r="10" customFormat="false" ht="15" hidden="false" customHeight="true" outlineLevel="0" collapsed="false">
      <c r="B10" s="25"/>
      <c r="C10" s="25"/>
      <c r="D10" s="25"/>
      <c r="E10" s="25"/>
      <c r="F10" s="25"/>
    </row>
    <row r="11" customFormat="false" ht="15" hidden="false" customHeight="true" outlineLevel="0" collapsed="false">
      <c r="B11" s="25"/>
      <c r="C11" s="25"/>
      <c r="D11" s="25"/>
      <c r="E11" s="25"/>
      <c r="F11" s="25"/>
    </row>
    <row r="12" customFormat="false" ht="15" hidden="false" customHeight="true" outlineLevel="0" collapsed="false">
      <c r="B12" s="25"/>
      <c r="C12" s="25"/>
      <c r="D12" s="25"/>
      <c r="E12" s="25"/>
      <c r="F12" s="25"/>
    </row>
    <row r="13" customFormat="false" ht="15" hidden="false" customHeight="true" outlineLevel="0" collapsed="false">
      <c r="B13" s="25"/>
      <c r="C13" s="25"/>
      <c r="D13" s="25"/>
      <c r="E13" s="25"/>
      <c r="F13" s="25"/>
    </row>
    <row r="14" customFormat="false" ht="15" hidden="false" customHeight="true" outlineLevel="0" collapsed="false">
      <c r="B14" s="25"/>
      <c r="C14" s="25"/>
      <c r="D14" s="25"/>
      <c r="E14" s="25"/>
      <c r="F1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2026-08-04T17:21:15Z</dcterms:created>
  <dc:creator>openpyxl</dc:creator>
  <dc:description/>
  <dc:language>en-US</dc:language>
  <cp:lastModifiedBy/>
  <dcterms:modified xsi:type="dcterms:W3CDTF">2026-08-04T17:21:34Z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