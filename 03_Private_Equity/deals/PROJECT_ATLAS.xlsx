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ources &amp; Uses" sheetId="2" state="visible" r:id="rId4"/>
    <sheet name="Debt Schedule" sheetId="3" state="visible" r:id="rId5"/>
    <sheet name="Returns" sheetId="4" state="visible" r:id="rId6"/>
    <sheet name="Sensitivity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<sst xmlns="http://schemas.openxmlformats.org/spreadsheetml/2006/main" count="121" uniqueCount="92">
  <si>
    <t xml:space="preserve">[TARGET] — LBO Model</t>
  </si>
  <si>
    <t xml:space="preserve">Sponsor:</t>
  </si>
  <si>
    <t xml:space="preserve">[Illustrative Sponsor]</t>
  </si>
  <si>
    <t xml:space="preserve">Deal type:</t>
  </si>
  <si>
    <t xml:space="preserve">LBO / platform buyout (fictional)</t>
  </si>
  <si>
    <t xml:space="preserve">Last refreshed:</t>
  </si>
  <si>
    <t xml:space="preserve">2026-08-01</t>
  </si>
  <si>
    <t xml:space="preserve">Next covenant/refinancing date:</t>
  </si>
  <si>
    <t xml:space="preserve">2026-11-01</t>
  </si>
  <si>
    <t xml:space="preserve">Entry date:</t>
  </si>
  <si>
    <t xml:space="preserve">2026-03-15</t>
  </si>
  <si>
    <t xml:space="preserve">Hold period (yrs):</t>
  </si>
  <si>
    <t xml:space="preserve">Refresh cadence:</t>
  </si>
  <si>
    <t xml:space="preserve">Weekly</t>
  </si>
  <si>
    <t xml:space="preserve">Sources &amp; Uses</t>
  </si>
  <si>
    <t xml:space="preserve">Sources</t>
  </si>
  <si>
    <t xml:space="preserve">Uses</t>
  </si>
  <si>
    <t xml:space="preserve">Revolver (undrawn at close)</t>
  </si>
  <si>
    <t xml:space="preserve">Purchase of equity (at entry mult.)</t>
  </si>
  <si>
    <t xml:space="preserve">Term Loan A</t>
  </si>
  <si>
    <t xml:space="preserve">Refinance existing debt</t>
  </si>
  <si>
    <t xml:space="preserve">Term Loan B</t>
  </si>
  <si>
    <t xml:space="preserve">Transaction fees</t>
  </si>
  <si>
    <t xml:space="preserve">Senior Notes</t>
  </si>
  <si>
    <t xml:space="preserve">Financing fees</t>
  </si>
  <si>
    <t xml:space="preserve">Sponsor equity</t>
  </si>
  <si>
    <t xml:space="preserve">Cash to balance sheet</t>
  </si>
  <si>
    <t xml:space="preserve">Management rollover</t>
  </si>
  <si>
    <t xml:space="preserve">Total uses</t>
  </si>
  <si>
    <t xml:space="preserve">Total sources</t>
  </si>
  <si>
    <t xml:space="preserve">Check (sources = uses):</t>
  </si>
  <si>
    <t xml:space="preserve">Debt Schedule (with cash sweep)</t>
  </si>
  <si>
    <t xml:space="preserve">Yr0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</si>
  <si>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</si>
  <si>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</si>
  <si>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</si>
  <si>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</si>
  <si>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</si>
  <si>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Assumptions</t>
  </si>
  <si>
    <t xml:space="preserve">EBITDA</t>
  </si>
  <si>
    <t xml:space="preserve">Entry EBITDA growth (%/yr)</t>
  </si>
  <si>
    <t xml:space="preserve">Cash flow available for debt paydown (FCF)</t>
  </si>
  <si>
    <t xml:space="preserve">FCF conversion (FCF / EBITDA, %)</t>
  </si>
  <si>
    <t xml:space="preserve">Mandatory amort (% of original TLB/yr)</t>
  </si>
  <si>
    <t xml:space="preserve">Cash sweep (% of excess FCF, after debt svc)</t>
  </si>
  <si>
    <t xml:space="preserve">  Beginning balance</t>
  </si>
  <si>
    <t xml:space="preserve">Term Loan B interest rate (%)</t>
  </si>
  <si>
    <t xml:space="preserve">  Mandatory amortization</t>
  </si>
  <si>
    <t xml:space="preserve">Original TLB balance (Yr0, $)</t>
  </si>
  <si>
    <t xml:space="preserve">  Cash sweep (excess FCF after debt svc)</t>
  </si>
  <si>
    <t xml:space="preserve">  Ending balance</t>
  </si>
  <si>
    <t xml:space="preserve">Models Term Loan B only — the amortizing/sweep tranche in a typical</t>
  </si>
  <si>
    <t xml:space="preserve">  Interest expense (rate x beginning balance)</t>
  </si>
  <si>
    <t xml:space="preserve">structure. Revolver stays undrawn at close; notes are bullet/no-amort.</t>
  </si>
  <si>
    <t xml:space="preserve">Total debt (end of period)</t>
  </si>
  <si>
    <t xml:space="preserve">Total debt / EBITDA (leverage)</t>
  </si>
  <si>
    <t xml:space="preserve">Returns — IRR / MOIC</t>
  </si>
  <si>
    <t xml:space="preserve">Entry</t>
  </si>
  <si>
    <t xml:space="preserve">Entry EBITDA</t>
  </si>
  <si>
    <t xml:space="preserve">Entry multiple</t>
  </si>
  <si>
    <t xml:space="preserve">Entry EV</t>
  </si>
  <si>
    <t xml:space="preserve">Sponsor equity check</t>
  </si>
  <si>
    <t xml:space="preserve">Exit</t>
  </si>
  <si>
    <t xml:space="preserve">Exit EBITDA (Yr5)</t>
  </si>
  <si>
    <t xml:space="preserve">Exit multiple</t>
  </si>
  <si>
    <t xml:space="preserve">Exit EV</t>
  </si>
  <si>
    <t xml:space="preserve">Less: net debt at exit</t>
  </si>
  <si>
    <t xml:space="preserve">Exit equity value</t>
  </si>
  <si>
    <t xml:space="preserve">Returns</t>
  </si>
  <si>
    <t xml:space="preserve">MOIC</t>
  </si>
  <si>
    <t xml:space="preserve">Hold period (yrs)</t>
  </si>
  <si>
    <t xml:space="preserve">IRR</t>
  </si>
  <si>
    <t xml:space="preserve">Sensitivity — IRR by Entry/Exit Multiple</t>
  </si>
  <si>
    <t xml:space="preserve">Entry \ Exit mult.</t>
  </si>
  <si>
    <t xml:space="preserve">[data table — Excel What-If Analysis]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</si>
  <si>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</si>
  <si>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</si>
  <si>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</si>
  <si>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</si>
  <si>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</si>
  <si>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</si>
  <si>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Deal close</t>
  </si>
  <si>
    <t xml:space="preserve">Instance created at financial close; Sources &amp; Uses and debt terms locked from illustrative deal docs.</t>
  </si>
  <si>
    <t xml:space="preserve">Reviewed sources=uses check ties to 0</t>
  </si>
  <si>
    <t xml:space="preserve">2026-04-15</t>
  </si>
  <si>
    <t xml:space="preserve">2026-05-01</t>
  </si>
  <si>
    <t xml:space="preserve">Quarterly review</t>
  </si>
  <si>
    <t xml:space="preserve">No covenant changes; rolled forward leverage check against latest illustrative EBITDA run-rate.</t>
  </si>
  <si>
    <t xml:space="preserve">Leverage trending down as modeled</t>
  </si>
  <si>
    <t xml:space="preserve">Manual review</t>
  </si>
  <si>
    <t xml:space="preserve">Refreshed Cover date; caught and fixed a Cover-tab field-order bug in the underlying LBO template (Last refreshed/next-date cells were misaligned with the weekly refresh checker) as part of this refresh.</t>
  </si>
  <si>
    <t xml:space="preserve">Recalc clean, debt paydown schedule tracking model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</si>
</sst>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;\(0.0%\);\-"/>
    <numFmt numFmtId="167" formatCode="0.00%;\(0.00%\);\-"/>
    <numFmt numFmtId="168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4" t="s">
        <v>10</v>
      </c>
    </row>
    <row r="9" customFormat="false" ht="15" hidden="false" customHeight="true" outlineLevel="0" collapsed="false">
      <c r="B9" s="3" t="s">
        <v>11</v>
      </c>
      <c r="C9" s="4" t="n">
        <v>5</v>
      </c>
    </row>
    <row r="10" customFormat="false" ht="15" hidden="false" customHeight="true" outlineLevel="0" collapsed="false">
      <c r="B10" s="3" t="s">
        <v>12</v>
      </c>
      <c r="C10" s="4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6"/>
    <col collapsed="false" customWidth="true" hidden="false" outlineLevel="0" max="5" min="5" style="1" width="26"/>
    <col collapsed="false" customWidth="true" hidden="false" outlineLevel="0" max="6" min="6" style="1" width="14"/>
  </cols>
  <sheetData>
    <row r="2" customFormat="false" ht="19.5" hidden="false" customHeight="true" outlineLevel="0" collapsed="false">
      <c r="B2" s="2" t="s">
        <v>14</v>
      </c>
    </row>
    <row r="4" customFormat="false" ht="15" hidden="false" customHeight="true" outlineLevel="0" collapsed="false">
      <c r="B4" s="5" t="s">
        <v>15</v>
      </c>
      <c r="E4" s="5" t="s">
        <v>16</v>
      </c>
    </row>
    <row r="5" customFormat="false" ht="15" hidden="false" customHeight="true" outlineLevel="0" collapsed="false">
      <c r="B5" s="6" t="s">
        <v>17</v>
      </c>
      <c r="C5" s="7" t="n">
        <v>0</v>
      </c>
      <c r="E5" s="6" t="s">
        <v>18</v>
      </c>
      <c r="F5" s="7" t="n">
        <v>600</v>
      </c>
    </row>
    <row r="6" customFormat="false" ht="15" hidden="false" customHeight="true" outlineLevel="0" collapsed="false">
      <c r="B6" s="6" t="s">
        <v>19</v>
      </c>
      <c r="C6" s="7" t="n">
        <v>0</v>
      </c>
      <c r="E6" s="6" t="s">
        <v>20</v>
      </c>
      <c r="F6" s="7" t="n">
        <v>50</v>
      </c>
    </row>
    <row r="7" customFormat="false" ht="15" hidden="false" customHeight="true" outlineLevel="0" collapsed="false">
      <c r="B7" s="6" t="s">
        <v>21</v>
      </c>
      <c r="C7" s="7" t="n">
        <v>350</v>
      </c>
      <c r="E7" s="6" t="s">
        <v>22</v>
      </c>
      <c r="F7" s="7" t="n">
        <v>15</v>
      </c>
    </row>
    <row r="8" customFormat="false" ht="15" hidden="false" customHeight="true" outlineLevel="0" collapsed="false">
      <c r="B8" s="6" t="s">
        <v>23</v>
      </c>
      <c r="C8" s="7" t="n">
        <v>100</v>
      </c>
      <c r="E8" s="6" t="s">
        <v>24</v>
      </c>
      <c r="F8" s="7" t="n">
        <v>10</v>
      </c>
    </row>
    <row r="9" customFormat="false" ht="15" hidden="false" customHeight="true" outlineLevel="0" collapsed="false">
      <c r="B9" s="6" t="s">
        <v>25</v>
      </c>
      <c r="C9" s="7" t="n">
        <v>200</v>
      </c>
      <c r="E9" s="6" t="s">
        <v>26</v>
      </c>
      <c r="F9" s="7" t="n">
        <v>25</v>
      </c>
    </row>
    <row r="10" customFormat="false" ht="15" hidden="false" customHeight="true" outlineLevel="0" collapsed="false">
      <c r="B10" s="6" t="s">
        <v>27</v>
      </c>
      <c r="C10" s="7" t="n">
        <v>50</v>
      </c>
      <c r="E10" s="3" t="s">
        <v>28</v>
      </c>
      <c r="F10" s="8" t="n">
        <f aca="false">SUM(F5:F9)</f>
        <v>700</v>
      </c>
    </row>
    <row r="11" customFormat="false" ht="15" hidden="false" customHeight="true" outlineLevel="0" collapsed="false">
      <c r="B11" s="3" t="s">
        <v>29</v>
      </c>
      <c r="C11" s="8" t="n">
        <f aca="false">SUM(C5:C10)</f>
        <v>700</v>
      </c>
    </row>
    <row r="13" customFormat="false" ht="15" hidden="false" customHeight="true" outlineLevel="0" collapsed="false">
      <c r="B13" s="3" t="s">
        <v>30</v>
      </c>
      <c r="C13" s="9" t="n">
        <f aca="false">C11-F10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8" min="3" style="1" width="12"/>
    <col collapsed="false" customWidth="true" hidden="false" outlineLevel="0" max="9" min="9" style="1" width="4"/>
    <col collapsed="false" customWidth="true" hidden="false" outlineLevel="0" max="10" min="10" style="1" width="26"/>
    <col collapsed="false" customWidth="true" hidden="false" outlineLevel="0" max="11" min="11" style="1" width="14"/>
  </cols>
  <sheetData>
    <row r="2" customFormat="false" ht="19.5" hidden="false" customHeight="true" outlineLevel="0" collapsed="false">
      <c r="B2" s="2" t="s">
        <v>31</v>
      </c>
    </row>
    <row r="4" customFormat="false" ht="15" hidden="false" customHeight="true" outlineLevel="0" collapsed="false">
      <c r="C4" s="10" t="s">
        <v>32</v>
      </c>
      <c r="D4" s="10" t="s">
        <v>33</v>
      </c>
      <c r="E4" s="10" t="s">
        <v>34</v>
      </c>
      <c r="F4" s="10" t="s">
        <v>35</v>
      </c>
      <c r="G4" s="10" t="s">
        <v>36</v>
      </c>
      <c r="H4" s="10" t="s">
        <v>37</v>
      </c>
      <c r="J4" s="5" t="s">
        <v>38</v>
      </c>
      <c r="K4" s="11"/>
    </row>
    <row r="5" customFormat="false" ht="15" hidden="false" customHeight="true" outlineLevel="0" collapsed="false">
      <c r="B5" s="12" t="s">
        <v>39</v>
      </c>
      <c r="C5" s="13" t="n">
        <f aca="false">Returns!C5</f>
        <v>100</v>
      </c>
      <c r="D5" s="14" t="n">
        <f aca="false">C5*(1+$K$5)</f>
        <v>106</v>
      </c>
      <c r="E5" s="14" t="n">
        <f aca="false">D5*(1+$K$5)</f>
        <v>112.36</v>
      </c>
      <c r="F5" s="14" t="n">
        <f aca="false">E5*(1+$K$5)</f>
        <v>119.1016</v>
      </c>
      <c r="G5" s="14" t="n">
        <f aca="false">F5*(1+$K$5)</f>
        <v>126.247696</v>
      </c>
      <c r="H5" s="14" t="n">
        <f aca="false">G5*(1+$K$5)</f>
        <v>133.82255776</v>
      </c>
      <c r="J5" s="6" t="s">
        <v>40</v>
      </c>
      <c r="K5" s="15" t="n">
        <v>0.06</v>
      </c>
    </row>
    <row r="6" customFormat="false" ht="15" hidden="false" customHeight="true" outlineLevel="0" collapsed="false">
      <c r="B6" s="6" t="s">
        <v>41</v>
      </c>
      <c r="C6" s="14" t="n">
        <f aca="false">C5*$K$6</f>
        <v>55</v>
      </c>
      <c r="D6" s="14" t="n">
        <f aca="false">D5*$K$6</f>
        <v>58.3</v>
      </c>
      <c r="E6" s="14" t="n">
        <f aca="false">E5*$K$6</f>
        <v>61.798</v>
      </c>
      <c r="F6" s="14" t="n">
        <f aca="false">F5*$K$6</f>
        <v>65.50588</v>
      </c>
      <c r="G6" s="14" t="n">
        <f aca="false">G5*$K$6</f>
        <v>69.4362328</v>
      </c>
      <c r="H6" s="14" t="n">
        <f aca="false">H5*$K$6</f>
        <v>73.602406768</v>
      </c>
      <c r="J6" s="6" t="s">
        <v>42</v>
      </c>
      <c r="K6" s="15" t="n">
        <v>0.55</v>
      </c>
    </row>
    <row r="7" customFormat="false" ht="15" hidden="false" customHeight="true" outlineLevel="0" collapsed="false">
      <c r="J7" s="6" t="s">
        <v>43</v>
      </c>
      <c r="K7" s="15" t="n">
        <v>0.01</v>
      </c>
    </row>
    <row r="8" customFormat="false" ht="15" hidden="false" customHeight="true" outlineLevel="0" collapsed="false">
      <c r="B8" s="3" t="s">
        <v>21</v>
      </c>
      <c r="J8" s="6" t="s">
        <v>44</v>
      </c>
      <c r="K8" s="15" t="n">
        <v>0.75</v>
      </c>
    </row>
    <row r="9" customFormat="false" ht="15" hidden="false" customHeight="true" outlineLevel="0" collapsed="false">
      <c r="B9" s="1" t="s">
        <v>45</v>
      </c>
      <c r="C9" s="16" t="n">
        <f aca="false">$K$10</f>
        <v>350</v>
      </c>
      <c r="D9" s="16" t="n">
        <f aca="false">C12</f>
        <v>331.5</v>
      </c>
      <c r="E9" s="16" t="n">
        <f aca="false">D12</f>
        <v>309.27625</v>
      </c>
      <c r="F9" s="16" t="n">
        <f aca="false">E12</f>
        <v>282.928896875</v>
      </c>
      <c r="G9" s="16" t="n">
        <f aca="false">F12</f>
        <v>252.022187414063</v>
      </c>
      <c r="H9" s="16" t="n">
        <f aca="false">G12</f>
        <v>216.081510464512</v>
      </c>
      <c r="J9" s="6" t="s">
        <v>46</v>
      </c>
      <c r="K9" s="17" t="n">
        <v>0.09</v>
      </c>
    </row>
    <row r="10" customFormat="false" ht="15" hidden="false" customHeight="true" outlineLevel="0" collapsed="false">
      <c r="B10" s="1" t="s">
        <v>47</v>
      </c>
      <c r="C10" s="16" t="n">
        <f aca="false">MIN($K$10*$K$7,C9)</f>
        <v>3.5</v>
      </c>
      <c r="D10" s="16" t="n">
        <f aca="false">MIN($K$10*$K$7,D9)</f>
        <v>3.5</v>
      </c>
      <c r="E10" s="16" t="n">
        <f aca="false">MIN($K$10*$K$7,E9)</f>
        <v>3.5</v>
      </c>
      <c r="F10" s="16" t="n">
        <f aca="false">MIN($K$10*$K$7,F9)</f>
        <v>3.5</v>
      </c>
      <c r="G10" s="16" t="n">
        <f aca="false">MIN($K$10*$K$7,G9)</f>
        <v>3.5</v>
      </c>
      <c r="H10" s="16" t="n">
        <f aca="false">MIN($K$10*$K$7,H9)</f>
        <v>3.5</v>
      </c>
      <c r="J10" s="1" t="s">
        <v>48</v>
      </c>
      <c r="K10" s="13" t="n">
        <f aca="false">'Sources &amp; Uses'!C7</f>
        <v>350</v>
      </c>
    </row>
    <row r="11" customFormat="false" ht="15" hidden="false" customHeight="true" outlineLevel="0" collapsed="false">
      <c r="B11" s="1" t="s">
        <v>49</v>
      </c>
      <c r="C11" s="16" t="n">
        <f aca="false">MIN(MAX(0,$K$8*(C6-C10-C13)),C9-C10)</f>
        <v>15</v>
      </c>
      <c r="D11" s="16" t="n">
        <f aca="false">MIN(MAX(0,$K$8*(D6-D10-D13)),D9-D10)</f>
        <v>18.72375</v>
      </c>
      <c r="E11" s="16" t="n">
        <f aca="false">MIN(MAX(0,$K$8*(E6-E10-E13)),E9-E10)</f>
        <v>22.847353125</v>
      </c>
      <c r="F11" s="16" t="n">
        <f aca="false">MIN(MAX(0,$K$8*(F6-F10-F13)),F9-F10)</f>
        <v>27.4067094609375</v>
      </c>
      <c r="G11" s="16" t="n">
        <f aca="false">MIN(MAX(0,$K$8*(G6-G10-G13)),G9-G10)</f>
        <v>32.4406769495508</v>
      </c>
      <c r="H11" s="16" t="n">
        <f aca="false">MIN(MAX(0,$K$8*(H6-H10-H13)),H9-H10)</f>
        <v>37.9913031196455</v>
      </c>
    </row>
    <row r="12" customFormat="false" ht="15" hidden="false" customHeight="true" outlineLevel="0" collapsed="false">
      <c r="B12" s="1" t="s">
        <v>50</v>
      </c>
      <c r="C12" s="16" t="n">
        <f aca="false">C9-C10-C11</f>
        <v>331.5</v>
      </c>
      <c r="D12" s="16" t="n">
        <f aca="false">D9-D10-D11</f>
        <v>309.27625</v>
      </c>
      <c r="E12" s="16" t="n">
        <f aca="false">E9-E10-E11</f>
        <v>282.928896875</v>
      </c>
      <c r="F12" s="16" t="n">
        <f aca="false">F9-F10-F11</f>
        <v>252.022187414063</v>
      </c>
      <c r="G12" s="16" t="n">
        <f aca="false">G9-G10-G11</f>
        <v>216.081510464512</v>
      </c>
      <c r="H12" s="16" t="n">
        <f aca="false">H9-H10-H11</f>
        <v>174.590207344866</v>
      </c>
      <c r="J12" s="18" t="s">
        <v>51</v>
      </c>
    </row>
    <row r="13" customFormat="false" ht="15" hidden="false" customHeight="true" outlineLevel="0" collapsed="false">
      <c r="B13" s="1" t="s">
        <v>52</v>
      </c>
      <c r="C13" s="16" t="n">
        <f aca="false">C9*$K$9</f>
        <v>31.5</v>
      </c>
      <c r="D13" s="16" t="n">
        <f aca="false">D9*$K$9</f>
        <v>29.835</v>
      </c>
      <c r="E13" s="16" t="n">
        <f aca="false">E9*$K$9</f>
        <v>27.8348625</v>
      </c>
      <c r="F13" s="16" t="n">
        <f aca="false">F9*$K$9</f>
        <v>25.46360071875</v>
      </c>
      <c r="G13" s="16" t="n">
        <f aca="false">G9*$K$9</f>
        <v>22.6819968672656</v>
      </c>
      <c r="H13" s="16" t="n">
        <f aca="false">H9*$K$9</f>
        <v>19.4473359418061</v>
      </c>
      <c r="J13" s="18" t="s">
        <v>53</v>
      </c>
    </row>
    <row r="15" customFormat="false" ht="15" hidden="false" customHeight="true" outlineLevel="0" collapsed="false">
      <c r="B15" s="3" t="s">
        <v>54</v>
      </c>
      <c r="C15" s="9" t="n">
        <f aca="false">C12</f>
        <v>331.5</v>
      </c>
      <c r="D15" s="9" t="n">
        <f aca="false">D12</f>
        <v>309.27625</v>
      </c>
      <c r="E15" s="9" t="n">
        <f aca="false">E12</f>
        <v>282.928896875</v>
      </c>
      <c r="F15" s="9" t="n">
        <f aca="false">F12</f>
        <v>252.022187414063</v>
      </c>
      <c r="G15" s="9" t="n">
        <f aca="false">G12</f>
        <v>216.081510464512</v>
      </c>
      <c r="H15" s="9" t="n">
        <f aca="false">H12</f>
        <v>174.590207344866</v>
      </c>
    </row>
    <row r="16" customFormat="false" ht="15" hidden="false" customHeight="true" outlineLevel="0" collapsed="false">
      <c r="B16" s="3" t="s">
        <v>55</v>
      </c>
      <c r="C16" s="19" t="n">
        <f aca="false">IFERROR(C15/C5,"-")</f>
        <v>3.315</v>
      </c>
      <c r="D16" s="19" t="n">
        <f aca="false">IFERROR(D15/D5,"-")</f>
        <v>2.91770047169811</v>
      </c>
      <c r="E16" s="19" t="n">
        <f aca="false">IFERROR(E15/E5,"-")</f>
        <v>2.51805710995906</v>
      </c>
      <c r="F16" s="19" t="n">
        <f aca="false">IFERROR(F15/F5,"-")</f>
        <v>2.11602688304828</v>
      </c>
      <c r="G16" s="19" t="n">
        <f aca="false">IFERROR(G15/G5,"-")</f>
        <v>1.7115679518184</v>
      </c>
      <c r="H16" s="19" t="n">
        <f aca="false">IFERROR(H15/H5,"-")</f>
        <v>1.30463959340831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6" min="3" style="1" width="14"/>
  </cols>
  <sheetData>
    <row r="2" customFormat="false" ht="19.5" hidden="false" customHeight="true" outlineLevel="0" collapsed="false">
      <c r="B2" s="2" t="s">
        <v>56</v>
      </c>
    </row>
    <row r="4" customFormat="false" ht="15" hidden="false" customHeight="true" outlineLevel="0" collapsed="false">
      <c r="B4" s="5" t="s">
        <v>57</v>
      </c>
    </row>
    <row r="5" customFormat="false" ht="15" hidden="false" customHeight="true" outlineLevel="0" collapsed="false">
      <c r="B5" s="1" t="s">
        <v>58</v>
      </c>
      <c r="C5" s="20" t="n">
        <v>100</v>
      </c>
    </row>
    <row r="6" customFormat="false" ht="15" hidden="false" customHeight="true" outlineLevel="0" collapsed="false">
      <c r="B6" s="1" t="s">
        <v>59</v>
      </c>
      <c r="C6" s="21" t="n">
        <v>7</v>
      </c>
    </row>
    <row r="7" customFormat="false" ht="15" hidden="false" customHeight="true" outlineLevel="0" collapsed="false">
      <c r="B7" s="1" t="s">
        <v>60</v>
      </c>
      <c r="C7" s="9" t="n">
        <f aca="false">C5*C6</f>
        <v>700</v>
      </c>
    </row>
    <row r="8" customFormat="false" ht="15" hidden="false" customHeight="true" outlineLevel="0" collapsed="false">
      <c r="B8" s="1" t="s">
        <v>61</v>
      </c>
      <c r="C8" s="22" t="n">
        <f aca="false">'Sources &amp; Uses'!C9</f>
        <v>200</v>
      </c>
    </row>
    <row r="10" customFormat="false" ht="15" hidden="false" customHeight="true" outlineLevel="0" collapsed="false">
      <c r="B10" s="5" t="s">
        <v>62</v>
      </c>
    </row>
    <row r="11" customFormat="false" ht="15" hidden="false" customHeight="true" outlineLevel="0" collapsed="false">
      <c r="B11" s="1" t="s">
        <v>63</v>
      </c>
      <c r="C11" s="22" t="n">
        <f aca="false">'Debt Schedule'!H5</f>
        <v>133.82255776</v>
      </c>
    </row>
    <row r="12" customFormat="false" ht="15" hidden="false" customHeight="true" outlineLevel="0" collapsed="false">
      <c r="B12" s="1" t="s">
        <v>64</v>
      </c>
      <c r="C12" s="21" t="n">
        <v>7.5</v>
      </c>
    </row>
    <row r="13" customFormat="false" ht="15" hidden="false" customHeight="true" outlineLevel="0" collapsed="false">
      <c r="B13" s="1" t="s">
        <v>65</v>
      </c>
      <c r="C13" s="9" t="n">
        <f aca="false">C11*C12</f>
        <v>1003.6691832</v>
      </c>
    </row>
    <row r="14" customFormat="false" ht="15" hidden="false" customHeight="true" outlineLevel="0" collapsed="false">
      <c r="B14" s="1" t="s">
        <v>66</v>
      </c>
      <c r="C14" s="22" t="n">
        <f aca="false">'Debt Schedule'!H15</f>
        <v>174.590207344866</v>
      </c>
    </row>
    <row r="15" customFormat="false" ht="15" hidden="false" customHeight="true" outlineLevel="0" collapsed="false">
      <c r="B15" s="1" t="s">
        <v>67</v>
      </c>
      <c r="C15" s="8" t="n">
        <f aca="false">C13-C14</f>
        <v>829.078975855134</v>
      </c>
    </row>
    <row r="17" customFormat="false" ht="15" hidden="false" customHeight="true" outlineLevel="0" collapsed="false">
      <c r="B17" s="5" t="s">
        <v>68</v>
      </c>
    </row>
    <row r="18" customFormat="false" ht="15" hidden="false" customHeight="true" outlineLevel="0" collapsed="false">
      <c r="B18" s="1" t="s">
        <v>69</v>
      </c>
      <c r="C18" s="23" t="n">
        <f aca="false">IFERROR(C15/C8,"-")</f>
        <v>4.14539487927567</v>
      </c>
    </row>
    <row r="19" customFormat="false" ht="15" hidden="false" customHeight="true" outlineLevel="0" collapsed="false">
      <c r="B19" s="1" t="s">
        <v>70</v>
      </c>
      <c r="C19" s="12" t="n">
        <f aca="false">Cover!C9</f>
        <v>5</v>
      </c>
    </row>
    <row r="20" customFormat="false" ht="15" hidden="false" customHeight="true" outlineLevel="0" collapsed="false">
      <c r="B20" s="1" t="s">
        <v>71</v>
      </c>
      <c r="C20" s="24" t="n">
        <f aca="false">IFERROR(C18^(1/C19)-1,"-")</f>
        <v>0.328963892040467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7" min="3" style="1" width="12"/>
  </cols>
  <sheetData>
    <row r="2" customFormat="false" ht="19.5" hidden="false" customHeight="true" outlineLevel="0" collapsed="false">
      <c r="B2" s="2" t="s">
        <v>72</v>
      </c>
    </row>
    <row r="4" customFormat="false" ht="15" hidden="false" customHeight="true" outlineLevel="0" collapsed="false">
      <c r="B4" s="5" t="s">
        <v>73</v>
      </c>
      <c r="C4" s="25" t="n">
        <v>7</v>
      </c>
      <c r="D4" s="25" t="n">
        <v>8</v>
      </c>
      <c r="E4" s="25" t="n">
        <v>9</v>
      </c>
      <c r="F4" s="25" t="n">
        <v>10</v>
      </c>
      <c r="G4" s="25" t="n">
        <v>11</v>
      </c>
    </row>
    <row r="5" customFormat="false" ht="15" hidden="false" customHeight="true" outlineLevel="0" collapsed="false">
      <c r="B5" s="25" t="n">
        <v>6</v>
      </c>
      <c r="C5" s="18" t="s">
        <v>74</v>
      </c>
      <c r="D5" s="18" t="s">
        <v>74</v>
      </c>
      <c r="E5" s="18" t="s">
        <v>74</v>
      </c>
      <c r="F5" s="18" t="s">
        <v>74</v>
      </c>
      <c r="G5" s="18" t="s">
        <v>74</v>
      </c>
    </row>
    <row r="6" customFormat="false" ht="15" hidden="false" customHeight="true" outlineLevel="0" collapsed="false">
      <c r="B6" s="25" t="n">
        <v>7</v>
      </c>
      <c r="C6" s="18" t="s">
        <v>74</v>
      </c>
      <c r="D6" s="18" t="s">
        <v>74</v>
      </c>
      <c r="E6" s="18" t="s">
        <v>74</v>
      </c>
      <c r="F6" s="18" t="s">
        <v>74</v>
      </c>
      <c r="G6" s="18" t="s">
        <v>74</v>
      </c>
    </row>
    <row r="7" customFormat="false" ht="15" hidden="false" customHeight="true" outlineLevel="0" collapsed="false">
      <c r="B7" s="25" t="n">
        <v>8</v>
      </c>
      <c r="C7" s="18" t="s">
        <v>74</v>
      </c>
      <c r="D7" s="18" t="s">
        <v>74</v>
      </c>
      <c r="E7" s="18" t="s">
        <v>74</v>
      </c>
      <c r="F7" s="18" t="s">
        <v>74</v>
      </c>
      <c r="G7" s="18" t="s">
        <v>74</v>
      </c>
    </row>
    <row r="8" customFormat="false" ht="15" hidden="false" customHeight="true" outlineLevel="0" collapsed="false">
      <c r="B8" s="25" t="n">
        <v>9</v>
      </c>
      <c r="C8" s="18" t="s">
        <v>74</v>
      </c>
      <c r="D8" s="18" t="s">
        <v>74</v>
      </c>
      <c r="E8" s="18" t="s">
        <v>74</v>
      </c>
      <c r="F8" s="18" t="s">
        <v>74</v>
      </c>
      <c r="G8" s="18" t="s">
        <v>74</v>
      </c>
    </row>
    <row r="9" customFormat="false" ht="15" hidden="false" customHeight="true" outlineLevel="0" collapsed="false">
      <c r="B9" s="25" t="n">
        <v>10</v>
      </c>
      <c r="C9" s="18" t="s">
        <v>74</v>
      </c>
      <c r="D9" s="18" t="s">
        <v>74</v>
      </c>
      <c r="E9" s="18" t="s">
        <v>74</v>
      </c>
      <c r="F9" s="18" t="s">
        <v>74</v>
      </c>
      <c r="G9" s="18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75</v>
      </c>
    </row>
    <row r="4" customFormat="false" ht="15" hidden="false" customHeight="true" outlineLevel="0" collapsed="false">
      <c r="B4" s="10" t="s">
        <v>76</v>
      </c>
      <c r="C4" s="10" t="s">
        <v>77</v>
      </c>
      <c r="D4" s="10" t="s">
        <v>78</v>
      </c>
      <c r="E4" s="10" t="s">
        <v>79</v>
      </c>
      <c r="F4" s="10" t="s">
        <v>80</v>
      </c>
    </row>
    <row r="5" customFormat="false" ht="15" hidden="false" customHeight="false" outlineLevel="0" collapsed="false">
      <c r="B5" s="1" t="s">
        <v>10</v>
      </c>
      <c r="C5" s="1" t="s">
        <v>81</v>
      </c>
      <c r="D5" s="1" t="s">
        <v>82</v>
      </c>
      <c r="E5" s="1" t="s">
        <v>83</v>
      </c>
      <c r="F5" s="1" t="s">
        <v>84</v>
      </c>
    </row>
    <row r="6" customFormat="false" ht="15" hidden="false" customHeight="false" outlineLevel="0" collapsed="false">
      <c r="B6" s="1" t="s">
        <v>85</v>
      </c>
      <c r="C6" s="1" t="s">
        <v>86</v>
      </c>
      <c r="D6" s="1" t="s">
        <v>87</v>
      </c>
      <c r="E6" s="1" t="s">
        <v>88</v>
      </c>
      <c r="F6" s="1" t="s">
        <v>6</v>
      </c>
    </row>
    <row r="7" customFormat="false" ht="15" hidden="false" customHeight="false" outlineLevel="0" collapsed="false">
      <c r="B7" s="1" t="s">
        <v>6</v>
      </c>
      <c r="C7" s="1" t="s">
        <v>89</v>
      </c>
      <c r="D7" s="1" t="s">
        <v>90</v>
      </c>
      <c r="E7" s="1" t="s">
        <v>91</v>
      </c>
      <c r="F7" s="1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2026-08-04T02:07:44Z</dcterms:created>
  <dc:creator>openpyxl</dc:creator>
  <dc:description/>
  <dc:language>en-US</dc:language>
  <cp:lastModifiedBy/>
  <dcterms:modified xsi:type="dcterms:W3CDTF">2026-08-04T02:08:33Z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