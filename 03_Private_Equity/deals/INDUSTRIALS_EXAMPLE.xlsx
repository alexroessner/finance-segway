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ources &amp; Uses" sheetId="2" state="visible" r:id="rId4"/>
    <sheet name="Debt Schedule" sheetId="3" state="visible" r:id="rId5"/>
    <sheet name="Returns" sheetId="4" state="visible" r:id="rId6"/>
    <sheet name="Sensitivity" sheetId="5" state="visible" r:id="rId7"/>
    <sheet name="Refresh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<sst xmlns="http://schemas.openxmlformats.org/spreadsheetml/2006/main" count="149" uniqueCount="115">
  <si>
    <t xml:space="preserve">[TARGET] — LBO Model</t>
  </si>
  <si>
    <t xml:space="preserve">Sponsor:</t>
  </si>
  <si>
    <t xml:space="preserve">[Example Sponsor] Industrial Capital</t>
  </si>
  <si>
    <t xml:space="preserve">Deal type:</t>
  </si>
  <si>
    <t xml:space="preserve">LBO / carve-out</t>
  </si>
  <si>
    <t xml:space="preserve">Last refreshed:</t>
  </si>
  <si>
    <t xml:space="preserve">2026-08-04</t>
  </si>
  <si>
    <t xml:space="preserve">Next covenant/refinancing date:</t>
  </si>
  <si>
    <t xml:space="preserve">2027-02-04</t>
  </si>
  <si>
    <t xml:space="preserve">Entry date:</t>
  </si>
  <si>
    <t xml:space="preserve">2026-01-15</t>
  </si>
  <si>
    <t xml:space="preserve">Hold period (yrs):</t>
  </si>
  <si>
    <t xml:space="preserve">Refresh cadence:</t>
  </si>
  <si>
    <t xml:space="preserve">Weekly</t>
  </si>
  <si>
    <t xml:space="preserve">Active scenario (Base or Downside):</t>
  </si>
  <si>
    <t xml:space="preserve">Base</t>
  </si>
  <si>
    <t xml:space="preserve">Sources &amp; Uses</t>
  </si>
  <si>
    <t xml:space="preserve">Sources</t>
  </si>
  <si>
    <t xml:space="preserve">Uses</t>
  </si>
  <si>
    <t xml:space="preserve">Revolver (undrawn at close)</t>
  </si>
  <si>
    <t xml:space="preserve">Purchase of equity (at entry mult.)</t>
  </si>
  <si>
    <t xml:space="preserve">Term Loan A</t>
  </si>
  <si>
    <t xml:space="preserve">Refinance existing debt</t>
  </si>
  <si>
    <t xml:space="preserve">Term Loan B</t>
  </si>
  <si>
    <t xml:space="preserve">Transaction fees</t>
  </si>
  <si>
    <t xml:space="preserve">Senior Notes</t>
  </si>
  <si>
    <t xml:space="preserve">Financing fees</t>
  </si>
  <si>
    <t xml:space="preserve">Sponsor equity</t>
  </si>
  <si>
    <t xml:space="preserve">Cash to balance sheet</t>
  </si>
  <si>
    <t xml:space="preserve">Management rollover</t>
  </si>
  <si>
    <t xml:space="preserve">Total uses</t>
  </si>
  <si>
    <t xml:space="preserve">Total sources</t>
  </si>
  <si>
    <t xml:space="preserve">Check (sources = uses):</t>
  </si>
  <si>
    <t xml:space="preserve">Debt Schedule — Revolver / TLA / TLB (with cash sweep)</t>
  </si>
  <si>
    <t xml:space="preserve">Yr0</t>
  </si>
  <si>
    <t xml:space="preserve">Yr1</t>
  </si>
  <si>
    <t xml:space="preserve">Yr2</t>
  </si>
  <si>
    <t xml:space="preserve">Yr3</t>
  </si>
  <si>
    <t xml:space="preserve">Yr4</t>
  </si>
  <si>
    <t xml:space="preserve">Yr5</t>
  </si>
  <si>
    <t xml:space="preserve">Assumptions</t>
  </si>
  <si>
    <t xml:space="preserve">Downside</t>
  </si>
  <si>
    <t xml:space="preserve">Active</t>
  </si>
  <si>
    <t xml:space="preserve">EBITDA</t>
  </si>
  <si>
    <t xml:space="preserve">Entry EBITDA growth (%/yr)</t>
  </si>
  <si>
    <t xml:space="preserve">Cash flow available for debt service (FCF)</t>
  </si>
  <si>
    <t xml:space="preserve">FCF conversion (FCF / EBITDA, %)</t>
  </si>
  <si>
    <t xml:space="preserve">TLA mandatory amort (% of original/yr)</t>
  </si>
  <si>
    <t xml:space="preserve">Revolving Credit Facility</t>
  </si>
  <si>
    <t xml:space="preserve">TLA interest rate (%)</t>
  </si>
  <si>
    <t xml:space="preserve">  Beginning balance</t>
  </si>
  <si>
    <t xml:space="preserve">TLB mandatory amort (% of original/yr)</t>
  </si>
  <si>
    <t xml:space="preserve">  Interest expense (rate x beginning balance)</t>
  </si>
  <si>
    <t xml:space="preserve">TLB interest rate (%)</t>
  </si>
  <si>
    <t xml:space="preserve">  Cash available for revolver / sweep decisions</t>
  </si>
  <si>
    <t xml:space="preserve">Cash sweep (% of excess cash, after revolver)</t>
  </si>
  <si>
    <t xml:space="preserve">  Draw / (repayment)</t>
  </si>
  <si>
    <t xml:space="preserve">Revolver commitment / capacity ($)</t>
  </si>
  <si>
    <t xml:space="preserve">  Ending balance</t>
  </si>
  <si>
    <t xml:space="preserve">Revolver interest rate (%, on drawn balance)</t>
  </si>
  <si>
    <t xml:space="preserve">  Excess cash remaining for term loan sweep</t>
  </si>
  <si>
    <t xml:space="preserve">Original TLA balance (Yr0, $)</t>
  </si>
  <si>
    <t xml:space="preserve">Original TLB balance (Yr0, $)</t>
  </si>
  <si>
    <t xml:space="preserve">Term Loan A (senior, amortizing)</t>
  </si>
  <si>
    <t xml:space="preserve">Revolver drawn at close ($)</t>
  </si>
  <si>
    <t xml:space="preserve">  Mandatory amortization</t>
  </si>
  <si>
    <t xml:space="preserve">Deal terms (rows 14-16) don't vary by scenario, so they skip the</t>
  </si>
  <si>
    <t xml:space="preserve">  Cash sweep (after revolver fully repaid)</t>
  </si>
  <si>
    <t xml:space="preserve">Base/Downside split and go straight in the Active column. Revolver</t>
  </si>
  <si>
    <t xml:space="preserve">commitment (M12) is total facility SIZE available to draw against,</t>
  </si>
  <si>
    <t xml:space="preserve">separate from the 'drawn at close' amount (M16, typically 0).</t>
  </si>
  <si>
    <t xml:space="preserve">Term Loan B (junior)</t>
  </si>
  <si>
    <t xml:space="preserve">  Cash sweep (only after TLA fully repaid)</t>
  </si>
  <si>
    <t xml:space="preserve">Total debt (end of period)</t>
  </si>
  <si>
    <t xml:space="preserve">Total interest expense</t>
  </si>
  <si>
    <t xml:space="preserve">Total debt / EBITDA (leverage)</t>
  </si>
  <si>
    <t xml:space="preserve">Returns — IRR / MOIC</t>
  </si>
  <si>
    <t xml:space="preserve">Entry</t>
  </si>
  <si>
    <t xml:space="preserve">Entry EBITDA</t>
  </si>
  <si>
    <t xml:space="preserve">Entry multiple</t>
  </si>
  <si>
    <t xml:space="preserve">Entry EV</t>
  </si>
  <si>
    <t xml:space="preserve">Sponsor equity check</t>
  </si>
  <si>
    <t xml:space="preserve">Exit</t>
  </si>
  <si>
    <t xml:space="preserve">Exit EBITDA (Yr5)</t>
  </si>
  <si>
    <t xml:space="preserve">Exit multiple (Active)</t>
  </si>
  <si>
    <t xml:space="preserve">Exit EV</t>
  </si>
  <si>
    <t xml:space="preserve">Less: net debt at exit</t>
  </si>
  <si>
    <t xml:space="preserve">Exit equity value</t>
  </si>
  <si>
    <t xml:space="preserve">Deal-Level Returns (blended, before management promote)</t>
  </si>
  <si>
    <t xml:space="preserve">MOIC (exit equity value / ALL invested equity, sponsor + mgmt)</t>
  </si>
  <si>
    <t xml:space="preserve">Everyone's return before the promote reallocates value from sponsor to management below — not the sponsor's actual net return</t>
  </si>
  <si>
    <t xml:space="preserve">Hold period (yrs)</t>
  </si>
  <si>
    <t xml:space="preserve">IRR</t>
  </si>
  <si>
    <t xml:space="preserve">Management Promote / Ratchet</t>
  </si>
  <si>
    <t xml:space="preserve">Total sponsor + management invested equity</t>
  </si>
  <si>
    <t xml:space="preserve">Management rollover % of total equity</t>
  </si>
  <si>
    <t xml:space="preserve">IRR hurdle for promote to kick in</t>
  </si>
  <si>
    <t xml:space="preserve">Management promote % of value created above hurdle</t>
  </si>
  <si>
    <t xml:space="preserve">Hurdle equity value (invested equity grown at hurdle IRR)</t>
  </si>
  <si>
    <t xml:space="preserve">Value created above hurdle</t>
  </si>
  <si>
    <t xml:space="preserve">Management promote ($)</t>
  </si>
  <si>
    <t xml:space="preserve">Management total proceeds (pro-rata rollover + promote)</t>
  </si>
  <si>
    <t xml:space="preserve">Sponsor net proceeds (exit equity value less management take)</t>
  </si>
  <si>
    <t xml:space="preserve">Sponsor-only MOIC (on sponsor equity, net of promote paid away)</t>
  </si>
  <si>
    <t xml:space="preserve">Sponsor-only IRR (net of promote paid away)</t>
  </si>
  <si>
    <t xml:space="preserve">This is the number that actually matters to the sponsor's LPs — the blended IRR above overstates what the fund itself earns once management's promote is paid away</t>
  </si>
  <si>
    <t xml:space="preserve">Sensitivity — IRR by Entry/Exit Multiple</t>
  </si>
  <si>
    <t xml:space="preserve">Entry \ Exit mult.</t>
  </si>
  <si>
    <t xml:space="preserve">[data table — Excel What-If Analysis]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</si>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</sst>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;\(0.0%\);\-"/>
    <numFmt numFmtId="167" formatCode="0.00%;\(0.00%\);\-"/>
    <numFmt numFmtId="168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6</v>
      </c>
    </row>
    <row r="7" customFormat="false" ht="15" hidden="false" customHeight="false" outlineLevel="0" collapsed="false">
      <c r="B7" s="3" t="s">
        <v>7</v>
      </c>
      <c r="C7" s="4" t="s">
        <v>8</v>
      </c>
    </row>
    <row r="8" customFormat="false" ht="15" hidden="false" customHeight="false" outlineLevel="0" collapsed="false">
      <c r="B8" s="3" t="s">
        <v>9</v>
      </c>
      <c r="C8" s="4" t="s">
        <v>10</v>
      </c>
    </row>
    <row r="9" customFormat="false" ht="15" hidden="false" customHeight="false" outlineLevel="0" collapsed="false">
      <c r="B9" s="3" t="s">
        <v>11</v>
      </c>
      <c r="C9" s="4" t="n">
        <v>5</v>
      </c>
    </row>
    <row r="10" customFormat="false" ht="15" hidden="false" customHeight="false" outlineLevel="0" collapsed="false">
      <c r="B10" s="3" t="s">
        <v>12</v>
      </c>
      <c r="C10" s="4" t="s">
        <v>13</v>
      </c>
    </row>
    <row r="11" customFormat="false" ht="15" hidden="false" customHeight="false" outlineLevel="0" collapsed="false">
      <c r="B11" s="3" t="s">
        <v>14</v>
      </c>
      <c r="C11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6"/>
    <col collapsed="false" customWidth="true" hidden="false" outlineLevel="0" max="5" min="5" style="1" width="26"/>
    <col collapsed="false" customWidth="true" hidden="false" outlineLevel="0" max="6" min="6" style="1" width="14"/>
  </cols>
  <sheetData>
    <row r="2" customFormat="false" ht="19.7" hidden="false" customHeight="false" outlineLevel="0" collapsed="false">
      <c r="B2" s="2" t="s">
        <v>16</v>
      </c>
    </row>
    <row r="4" customFormat="false" ht="15" hidden="false" customHeight="false" outlineLevel="0" collapsed="false">
      <c r="B4" s="5" t="s">
        <v>17</v>
      </c>
      <c r="E4" s="5" t="s">
        <v>18</v>
      </c>
    </row>
    <row r="5" customFormat="false" ht="15" hidden="false" customHeight="false" outlineLevel="0" collapsed="false">
      <c r="B5" s="6" t="s">
        <v>19</v>
      </c>
      <c r="C5" s="7" t="n">
        <v>0</v>
      </c>
      <c r="E5" s="6" t="s">
        <v>20</v>
      </c>
      <c r="F5" s="7" t="n">
        <v>300</v>
      </c>
    </row>
    <row r="6" customFormat="false" ht="15" hidden="false" customHeight="false" outlineLevel="0" collapsed="false">
      <c r="B6" s="6" t="s">
        <v>21</v>
      </c>
      <c r="C6" s="7" t="n">
        <v>100</v>
      </c>
      <c r="E6" s="6" t="s">
        <v>22</v>
      </c>
      <c r="F6" s="7" t="n">
        <v>0</v>
      </c>
    </row>
    <row r="7" customFormat="false" ht="15" hidden="false" customHeight="false" outlineLevel="0" collapsed="false">
      <c r="B7" s="6" t="s">
        <v>23</v>
      </c>
      <c r="C7" s="7" t="n">
        <v>80</v>
      </c>
      <c r="E7" s="6" t="s">
        <v>24</v>
      </c>
      <c r="F7" s="7" t="n">
        <v>5</v>
      </c>
    </row>
    <row r="8" customFormat="false" ht="15" hidden="false" customHeight="false" outlineLevel="0" collapsed="false">
      <c r="B8" s="6" t="s">
        <v>25</v>
      </c>
      <c r="C8" s="7" t="n">
        <v>0</v>
      </c>
      <c r="E8" s="6" t="s">
        <v>26</v>
      </c>
      <c r="F8" s="7" t="n">
        <v>3</v>
      </c>
    </row>
    <row r="9" customFormat="false" ht="15" hidden="false" customHeight="false" outlineLevel="0" collapsed="false">
      <c r="B9" s="6" t="s">
        <v>27</v>
      </c>
      <c r="C9" s="7" t="n">
        <v>115</v>
      </c>
      <c r="E9" s="6" t="s">
        <v>28</v>
      </c>
      <c r="F9" s="7" t="n">
        <v>2</v>
      </c>
    </row>
    <row r="10" customFormat="false" ht="15" hidden="false" customHeight="false" outlineLevel="0" collapsed="false">
      <c r="B10" s="6" t="s">
        <v>29</v>
      </c>
      <c r="C10" s="7" t="n">
        <v>15</v>
      </c>
      <c r="E10" s="3" t="s">
        <v>30</v>
      </c>
      <c r="F10" s="8" t="n">
        <f aca="false">SUM(F5:F9)</f>
        <v>310</v>
      </c>
    </row>
    <row r="11" customFormat="false" ht="15" hidden="false" customHeight="false" outlineLevel="0" collapsed="false">
      <c r="B11" s="3" t="s">
        <v>31</v>
      </c>
      <c r="C11" s="8" t="n">
        <f aca="false">SUM(C5:C10)</f>
        <v>310</v>
      </c>
    </row>
    <row r="13" customFormat="false" ht="15" hidden="false" customHeight="false" outlineLevel="0" collapsed="false">
      <c r="B13" s="3" t="s">
        <v>32</v>
      </c>
      <c r="C13" s="9" t="n">
        <f aca="false">C11-F10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8" min="3" style="1" width="12"/>
    <col collapsed="false" customWidth="true" hidden="false" outlineLevel="0" max="9" min="9" style="1" width="4"/>
    <col collapsed="false" customWidth="true" hidden="false" outlineLevel="0" max="10" min="10" style="1" width="40"/>
    <col collapsed="false" customWidth="true" hidden="false" outlineLevel="0" max="12" min="11" style="1" width="12"/>
    <col collapsed="false" customWidth="true" hidden="false" outlineLevel="0" max="13" min="13" style="1" width="14"/>
  </cols>
  <sheetData>
    <row r="2" customFormat="false" ht="19.7" hidden="false" customHeight="false" outlineLevel="0" collapsed="false">
      <c r="B2" s="2" t="s">
        <v>33</v>
      </c>
    </row>
    <row r="4" customFormat="false" ht="15" hidden="false" customHeight="false" outlineLevel="0" collapsed="false">
      <c r="C4" s="10" t="s">
        <v>34</v>
      </c>
      <c r="D4" s="10" t="s">
        <v>35</v>
      </c>
      <c r="E4" s="10" t="s">
        <v>36</v>
      </c>
      <c r="F4" s="10" t="s">
        <v>37</v>
      </c>
      <c r="G4" s="10" t="s">
        <v>38</v>
      </c>
      <c r="H4" s="10" t="s">
        <v>39</v>
      </c>
      <c r="J4" s="5" t="s">
        <v>40</v>
      </c>
      <c r="K4" s="10" t="s">
        <v>15</v>
      </c>
      <c r="L4" s="10" t="s">
        <v>41</v>
      </c>
      <c r="M4" s="10" t="s">
        <v>42</v>
      </c>
    </row>
    <row r="5" customFormat="false" ht="15" hidden="false" customHeight="false" outlineLevel="0" collapsed="false">
      <c r="B5" s="11" t="s">
        <v>43</v>
      </c>
      <c r="C5" s="12" t="n">
        <f aca="false">Returns!C5</f>
        <v>40</v>
      </c>
      <c r="D5" s="13" t="n">
        <f aca="false">C5*(1+$M$5)</f>
        <v>41.6</v>
      </c>
      <c r="E5" s="13" t="n">
        <f aca="false">D5*(1+$M$5)</f>
        <v>43.264</v>
      </c>
      <c r="F5" s="13" t="n">
        <f aca="false">E5*(1+$M$5)</f>
        <v>44.99456</v>
      </c>
      <c r="G5" s="13" t="n">
        <f aca="false">F5*(1+$M$5)</f>
        <v>46.7943424</v>
      </c>
      <c r="H5" s="13" t="n">
        <f aca="false">G5*(1+$M$5)</f>
        <v>48.666116096</v>
      </c>
      <c r="J5" s="6" t="s">
        <v>44</v>
      </c>
      <c r="K5" s="14" t="n">
        <v>0.04</v>
      </c>
      <c r="L5" s="14" t="n">
        <v>-0.12</v>
      </c>
      <c r="M5" s="15" t="n">
        <f aca="false">IF(Cover!$C$11="Downside",L5,K5)</f>
        <v>0.04</v>
      </c>
    </row>
    <row r="6" customFormat="false" ht="15" hidden="false" customHeight="false" outlineLevel="0" collapsed="false">
      <c r="B6" s="6" t="s">
        <v>45</v>
      </c>
      <c r="C6" s="13" t="n">
        <f aca="false">C5*$M$6</f>
        <v>14</v>
      </c>
      <c r="D6" s="13" t="n">
        <f aca="false">D5*$M$6</f>
        <v>14.56</v>
      </c>
      <c r="E6" s="13" t="n">
        <f aca="false">E5*$M$6</f>
        <v>15.1424</v>
      </c>
      <c r="F6" s="13" t="n">
        <f aca="false">F5*$M$6</f>
        <v>15.748096</v>
      </c>
      <c r="G6" s="13" t="n">
        <f aca="false">G5*$M$6</f>
        <v>16.37801984</v>
      </c>
      <c r="H6" s="13" t="n">
        <f aca="false">H5*$M$6</f>
        <v>17.0331406336</v>
      </c>
      <c r="J6" s="6" t="s">
        <v>46</v>
      </c>
      <c r="K6" s="14" t="n">
        <v>0.35</v>
      </c>
      <c r="L6" s="14" t="n">
        <v>0.15</v>
      </c>
      <c r="M6" s="15" t="n">
        <f aca="false">IF(Cover!$C$11="Downside",L6,K6)</f>
        <v>0.35</v>
      </c>
    </row>
    <row r="7" customFormat="false" ht="15" hidden="false" customHeight="false" outlineLevel="0" collapsed="false">
      <c r="J7" s="6" t="s">
        <v>47</v>
      </c>
      <c r="K7" s="14" t="n">
        <v>0.06</v>
      </c>
      <c r="L7" s="14" t="n">
        <v>0.06</v>
      </c>
      <c r="M7" s="15" t="n">
        <f aca="false">IF(Cover!$C$11="Downside",L7,K7)</f>
        <v>0.06</v>
      </c>
    </row>
    <row r="8" customFormat="false" ht="15" hidden="false" customHeight="false" outlineLevel="0" collapsed="false">
      <c r="B8" s="3" t="s">
        <v>48</v>
      </c>
      <c r="J8" s="6" t="s">
        <v>49</v>
      </c>
      <c r="K8" s="16" t="n">
        <v>0.075</v>
      </c>
      <c r="L8" s="16" t="n">
        <v>0.095</v>
      </c>
      <c r="M8" s="17" t="n">
        <f aca="false">IF(Cover!$C$11="Downside",L8,K8)</f>
        <v>0.075</v>
      </c>
    </row>
    <row r="9" customFormat="false" ht="15" hidden="false" customHeight="false" outlineLevel="0" collapsed="false">
      <c r="B9" s="1" t="s">
        <v>50</v>
      </c>
      <c r="C9" s="18" t="n">
        <f aca="false">$M$16</f>
        <v>0</v>
      </c>
      <c r="D9" s="18" t="n">
        <f aca="false">C13</f>
        <v>8.3</v>
      </c>
      <c r="E9" s="18" t="n">
        <f aca="false">D13</f>
        <v>16.2155</v>
      </c>
      <c r="F9" s="18" t="n">
        <f aca="false">E13</f>
        <v>23.6914175</v>
      </c>
      <c r="G9" s="18" t="n">
        <f aca="false">F13</f>
        <v>30</v>
      </c>
      <c r="H9" s="18" t="n">
        <f aca="false">G13</f>
        <v>30</v>
      </c>
      <c r="J9" s="6" t="s">
        <v>51</v>
      </c>
      <c r="K9" s="14" t="n">
        <v>0.01</v>
      </c>
      <c r="L9" s="14" t="n">
        <v>0.01</v>
      </c>
      <c r="M9" s="15" t="n">
        <f aca="false">IF(Cover!$C$11="Downside",L9,K9)</f>
        <v>0.01</v>
      </c>
    </row>
    <row r="10" customFormat="false" ht="15" hidden="false" customHeight="false" outlineLevel="0" collapsed="false">
      <c r="B10" s="1" t="s">
        <v>52</v>
      </c>
      <c r="C10" s="18" t="n">
        <f aca="false">C9*$M$13</f>
        <v>0</v>
      </c>
      <c r="D10" s="18" t="n">
        <f aca="false">D9*$M$13</f>
        <v>0.7055</v>
      </c>
      <c r="E10" s="18" t="n">
        <f aca="false">E9*$M$13</f>
        <v>1.3783175</v>
      </c>
      <c r="F10" s="18" t="n">
        <f aca="false">F9*$M$13</f>
        <v>2.0137704875</v>
      </c>
      <c r="G10" s="18" t="n">
        <f aca="false">G9*$M$13</f>
        <v>2.55</v>
      </c>
      <c r="H10" s="18" t="n">
        <f aca="false">H9*$M$13</f>
        <v>2.55</v>
      </c>
      <c r="J10" s="6" t="s">
        <v>53</v>
      </c>
      <c r="K10" s="16" t="n">
        <v>0.1</v>
      </c>
      <c r="L10" s="16" t="n">
        <v>0.125</v>
      </c>
      <c r="M10" s="17" t="n">
        <f aca="false">IF(Cover!$C$11="Downside",L10,K10)</f>
        <v>0.1</v>
      </c>
    </row>
    <row r="11" customFormat="false" ht="15" hidden="false" customHeight="false" outlineLevel="0" collapsed="false">
      <c r="B11" s="1" t="s">
        <v>54</v>
      </c>
      <c r="C11" s="18" t="n">
        <f aca="false">C6-C18-C25-C10-C21-C28</f>
        <v>-8.3</v>
      </c>
      <c r="D11" s="18" t="n">
        <f aca="false">D6-D18-D25-D10-D21-D28</f>
        <v>-7.9155</v>
      </c>
      <c r="E11" s="18" t="n">
        <f aca="false">E6-E18-E25-E10-E21-E28</f>
        <v>-7.4759175</v>
      </c>
      <c r="F11" s="18" t="n">
        <f aca="false">F6-F18-F25-F10-F21-F28</f>
        <v>-6.9756744875</v>
      </c>
      <c r="G11" s="18" t="n">
        <f aca="false">G6-G18-G25-G10-G21-G28</f>
        <v>-6.35198016</v>
      </c>
      <c r="H11" s="18" t="n">
        <f aca="false">H6-H18-H25-H10-H21-H28</f>
        <v>-5.1668593664</v>
      </c>
      <c r="J11" s="6" t="s">
        <v>55</v>
      </c>
      <c r="K11" s="14" t="n">
        <v>0.75</v>
      </c>
      <c r="L11" s="14" t="n">
        <v>0.75</v>
      </c>
      <c r="M11" s="15" t="n">
        <f aca="false">IF(Cover!$C$11="Downside",L11,K11)</f>
        <v>0.75</v>
      </c>
    </row>
    <row r="12" customFormat="false" ht="15" hidden="false" customHeight="false" outlineLevel="0" collapsed="false">
      <c r="B12" s="1" t="s">
        <v>56</v>
      </c>
      <c r="C12" s="18" t="n">
        <f aca="false">IF(C11&lt;0,MIN(-C11,$M$12-C9),-MIN(C9,MAX(0,C11)))</f>
        <v>8.3</v>
      </c>
      <c r="D12" s="18" t="n">
        <f aca="false">IF(D11&lt;0,MIN(-D11,$M$12-D9),-MIN(D9,MAX(0,D11)))</f>
        <v>7.9155</v>
      </c>
      <c r="E12" s="18" t="n">
        <f aca="false">IF(E11&lt;0,MIN(-E11,$M$12-E9),-MIN(E9,MAX(0,E11)))</f>
        <v>7.4759175</v>
      </c>
      <c r="F12" s="18" t="n">
        <f aca="false">IF(F11&lt;0,MIN(-F11,$M$12-F9),-MIN(F9,MAX(0,F11)))</f>
        <v>6.3085825</v>
      </c>
      <c r="G12" s="18" t="n">
        <f aca="false">IF(G11&lt;0,MIN(-G11,$M$12-G9),-MIN(G9,MAX(0,G11)))</f>
        <v>0</v>
      </c>
      <c r="H12" s="18" t="n">
        <f aca="false">IF(H11&lt;0,MIN(-H11,$M$12-H9),-MIN(H9,MAX(0,H11)))</f>
        <v>0</v>
      </c>
      <c r="J12" s="6" t="s">
        <v>57</v>
      </c>
      <c r="K12" s="19" t="n">
        <v>30</v>
      </c>
      <c r="L12" s="19" t="n">
        <v>30</v>
      </c>
      <c r="M12" s="12" t="n">
        <f aca="false">IF(Cover!$C$11="Downside",L12,K12)</f>
        <v>30</v>
      </c>
    </row>
    <row r="13" customFormat="false" ht="15" hidden="false" customHeight="false" outlineLevel="0" collapsed="false">
      <c r="B13" s="1" t="s">
        <v>58</v>
      </c>
      <c r="C13" s="18" t="n">
        <f aca="false">C9+C12</f>
        <v>8.3</v>
      </c>
      <c r="D13" s="18" t="n">
        <f aca="false">D9+D12</f>
        <v>16.2155</v>
      </c>
      <c r="E13" s="18" t="n">
        <f aca="false">E9+E12</f>
        <v>23.6914175</v>
      </c>
      <c r="F13" s="18" t="n">
        <f aca="false">F9+F12</f>
        <v>30</v>
      </c>
      <c r="G13" s="18" t="n">
        <f aca="false">G9+G12</f>
        <v>30</v>
      </c>
      <c r="H13" s="18" t="n">
        <f aca="false">H9+H12</f>
        <v>30</v>
      </c>
      <c r="J13" s="6" t="s">
        <v>59</v>
      </c>
      <c r="K13" s="16" t="n">
        <v>0.085</v>
      </c>
      <c r="L13" s="16" t="n">
        <v>0.105</v>
      </c>
      <c r="M13" s="17" t="n">
        <f aca="false">IF(Cover!$C$11="Downside",L13,K13)</f>
        <v>0.085</v>
      </c>
    </row>
    <row r="14" customFormat="false" ht="15" hidden="false" customHeight="false" outlineLevel="0" collapsed="false">
      <c r="B14" s="1" t="s">
        <v>60</v>
      </c>
      <c r="C14" s="18" t="n">
        <f aca="false">MAX(0,MAX(0,C11)-C9)</f>
        <v>0</v>
      </c>
      <c r="D14" s="18" t="n">
        <f aca="false">MAX(0,MAX(0,D11)-D9)</f>
        <v>0</v>
      </c>
      <c r="E14" s="18" t="n">
        <f aca="false">MAX(0,MAX(0,E11)-E9)</f>
        <v>0</v>
      </c>
      <c r="F14" s="18" t="n">
        <f aca="false">MAX(0,MAX(0,F11)-F9)</f>
        <v>0</v>
      </c>
      <c r="G14" s="18" t="n">
        <f aca="false">MAX(0,MAX(0,G11)-G9)</f>
        <v>0</v>
      </c>
      <c r="H14" s="18" t="n">
        <f aca="false">MAX(0,MAX(0,H11)-H9)</f>
        <v>0</v>
      </c>
      <c r="J14" s="20" t="s">
        <v>61</v>
      </c>
      <c r="M14" s="12" t="n">
        <f aca="false">'Sources &amp; Uses'!C6</f>
        <v>100</v>
      </c>
    </row>
    <row r="15" customFormat="false" ht="15" hidden="false" customHeight="false" outlineLevel="0" collapsed="false">
      <c r="J15" s="1" t="s">
        <v>62</v>
      </c>
      <c r="M15" s="12" t="n">
        <f aca="false">'Sources &amp; Uses'!C7</f>
        <v>80</v>
      </c>
    </row>
    <row r="16" customFormat="false" ht="15" hidden="false" customHeight="false" outlineLevel="0" collapsed="false">
      <c r="B16" s="3" t="s">
        <v>63</v>
      </c>
      <c r="J16" s="20" t="s">
        <v>64</v>
      </c>
      <c r="M16" s="12" t="n">
        <f aca="false">'Sources &amp; Uses'!C5</f>
        <v>0</v>
      </c>
    </row>
    <row r="17" customFormat="false" ht="15" hidden="false" customHeight="false" outlineLevel="0" collapsed="false">
      <c r="B17" s="1" t="s">
        <v>50</v>
      </c>
      <c r="C17" s="18" t="n">
        <f aca="false">$M$14</f>
        <v>100</v>
      </c>
      <c r="D17" s="18" t="n">
        <f aca="false">C20</f>
        <v>94</v>
      </c>
      <c r="E17" s="18" t="n">
        <f aca="false">D20</f>
        <v>88</v>
      </c>
      <c r="F17" s="18" t="n">
        <f aca="false">E20</f>
        <v>82</v>
      </c>
      <c r="G17" s="18" t="n">
        <f aca="false">F20</f>
        <v>76</v>
      </c>
      <c r="H17" s="18" t="n">
        <f aca="false">G20</f>
        <v>70</v>
      </c>
    </row>
    <row r="18" customFormat="false" ht="15" hidden="false" customHeight="false" outlineLevel="0" collapsed="false">
      <c r="B18" s="1" t="s">
        <v>65</v>
      </c>
      <c r="C18" s="18" t="n">
        <f aca="false">MIN($M$14*$M$7,C17)</f>
        <v>6</v>
      </c>
      <c r="D18" s="18" t="n">
        <f aca="false">MIN($M$14*$M$7,D17)</f>
        <v>6</v>
      </c>
      <c r="E18" s="18" t="n">
        <f aca="false">MIN($M$14*$M$7,E17)</f>
        <v>6</v>
      </c>
      <c r="F18" s="18" t="n">
        <f aca="false">MIN($M$14*$M$7,F17)</f>
        <v>6</v>
      </c>
      <c r="G18" s="18" t="n">
        <f aca="false">MIN($M$14*$M$7,G17)</f>
        <v>6</v>
      </c>
      <c r="H18" s="18" t="n">
        <f aca="false">MIN($M$14*$M$7,H17)</f>
        <v>6</v>
      </c>
      <c r="J18" s="21" t="s">
        <v>66</v>
      </c>
    </row>
    <row r="19" customFormat="false" ht="15" hidden="false" customHeight="false" outlineLevel="0" collapsed="false">
      <c r="B19" s="1" t="s">
        <v>67</v>
      </c>
      <c r="C19" s="18" t="n">
        <f aca="false">MIN($M$11*C14,C17-C18)</f>
        <v>0</v>
      </c>
      <c r="D19" s="18" t="n">
        <f aca="false">MIN($M$11*D14,D17-D18)</f>
        <v>0</v>
      </c>
      <c r="E19" s="18" t="n">
        <f aca="false">MIN($M$11*E14,E17-E18)</f>
        <v>0</v>
      </c>
      <c r="F19" s="18" t="n">
        <f aca="false">MIN($M$11*F14,F17-F18)</f>
        <v>0</v>
      </c>
      <c r="G19" s="18" t="n">
        <f aca="false">MIN($M$11*G14,G17-G18)</f>
        <v>0</v>
      </c>
      <c r="H19" s="18" t="n">
        <f aca="false">MIN($M$11*H14,H17-H18)</f>
        <v>0</v>
      </c>
      <c r="J19" s="21" t="s">
        <v>68</v>
      </c>
    </row>
    <row r="20" customFormat="false" ht="15" hidden="false" customHeight="false" outlineLevel="0" collapsed="false">
      <c r="B20" s="1" t="s">
        <v>58</v>
      </c>
      <c r="C20" s="18" t="n">
        <f aca="false">C17-C18-C19</f>
        <v>94</v>
      </c>
      <c r="D20" s="18" t="n">
        <f aca="false">D17-D18-D19</f>
        <v>88</v>
      </c>
      <c r="E20" s="18" t="n">
        <f aca="false">E17-E18-E19</f>
        <v>82</v>
      </c>
      <c r="F20" s="18" t="n">
        <f aca="false">F17-F18-F19</f>
        <v>76</v>
      </c>
      <c r="G20" s="18" t="n">
        <f aca="false">G17-G18-G19</f>
        <v>70</v>
      </c>
      <c r="H20" s="18" t="n">
        <f aca="false">H17-H18-H19</f>
        <v>64</v>
      </c>
      <c r="J20" s="21" t="s">
        <v>69</v>
      </c>
    </row>
    <row r="21" customFormat="false" ht="15" hidden="false" customHeight="false" outlineLevel="0" collapsed="false">
      <c r="B21" s="1" t="s">
        <v>52</v>
      </c>
      <c r="C21" s="18" t="n">
        <f aca="false">C17*$M$8</f>
        <v>7.5</v>
      </c>
      <c r="D21" s="18" t="n">
        <f aca="false">D17*$M$8</f>
        <v>7.05</v>
      </c>
      <c r="E21" s="18" t="n">
        <f aca="false">E17*$M$8</f>
        <v>6.6</v>
      </c>
      <c r="F21" s="18" t="n">
        <f aca="false">F17*$M$8</f>
        <v>6.15</v>
      </c>
      <c r="G21" s="18" t="n">
        <f aca="false">G17*$M$8</f>
        <v>5.7</v>
      </c>
      <c r="H21" s="18" t="n">
        <f aca="false">H17*$M$8</f>
        <v>5.25</v>
      </c>
      <c r="J21" s="21" t="s">
        <v>70</v>
      </c>
    </row>
    <row r="23" customFormat="false" ht="15" hidden="false" customHeight="false" outlineLevel="0" collapsed="false">
      <c r="B23" s="3" t="s">
        <v>71</v>
      </c>
    </row>
    <row r="24" customFormat="false" ht="15" hidden="false" customHeight="false" outlineLevel="0" collapsed="false">
      <c r="B24" s="1" t="s">
        <v>50</v>
      </c>
      <c r="C24" s="18" t="n">
        <f aca="false">$M$15</f>
        <v>80</v>
      </c>
      <c r="D24" s="18" t="n">
        <f aca="false">C27</f>
        <v>79.2</v>
      </c>
      <c r="E24" s="18" t="n">
        <f aca="false">D27</f>
        <v>78.4</v>
      </c>
      <c r="F24" s="18" t="n">
        <f aca="false">E27</f>
        <v>77.6</v>
      </c>
      <c r="G24" s="18" t="n">
        <f aca="false">F27</f>
        <v>76.8</v>
      </c>
      <c r="H24" s="18" t="n">
        <f aca="false">G27</f>
        <v>76</v>
      </c>
    </row>
    <row r="25" customFormat="false" ht="15" hidden="false" customHeight="false" outlineLevel="0" collapsed="false">
      <c r="B25" s="1" t="s">
        <v>65</v>
      </c>
      <c r="C25" s="18" t="n">
        <f aca="false">MIN($M$15*$M$9,C24)</f>
        <v>0.8</v>
      </c>
      <c r="D25" s="18" t="n">
        <f aca="false">MIN($M$15*$M$9,D24)</f>
        <v>0.8</v>
      </c>
      <c r="E25" s="18" t="n">
        <f aca="false">MIN($M$15*$M$9,E24)</f>
        <v>0.8</v>
      </c>
      <c r="F25" s="18" t="n">
        <f aca="false">MIN($M$15*$M$9,F24)</f>
        <v>0.8</v>
      </c>
      <c r="G25" s="18" t="n">
        <f aca="false">MIN($M$15*$M$9,G24)</f>
        <v>0.8</v>
      </c>
      <c r="H25" s="18" t="n">
        <f aca="false">MIN($M$15*$M$9,H24)</f>
        <v>0.8</v>
      </c>
    </row>
    <row r="26" customFormat="false" ht="15" hidden="false" customHeight="false" outlineLevel="0" collapsed="false">
      <c r="B26" s="1" t="s">
        <v>72</v>
      </c>
      <c r="C26" s="18" t="n">
        <f aca="false">MIN($M$11*C14-C19,C24-C25)</f>
        <v>0</v>
      </c>
      <c r="D26" s="18" t="n">
        <f aca="false">MIN($M$11*D14-D19,D24-D25)</f>
        <v>0</v>
      </c>
      <c r="E26" s="18" t="n">
        <f aca="false">MIN($M$11*E14-E19,E24-E25)</f>
        <v>0</v>
      </c>
      <c r="F26" s="18" t="n">
        <f aca="false">MIN($M$11*F14-F19,F24-F25)</f>
        <v>0</v>
      </c>
      <c r="G26" s="18" t="n">
        <f aca="false">MIN($M$11*G14-G19,G24-G25)</f>
        <v>0</v>
      </c>
      <c r="H26" s="18" t="n">
        <f aca="false">MIN($M$11*H14-H19,H24-H25)</f>
        <v>0</v>
      </c>
    </row>
    <row r="27" customFormat="false" ht="15" hidden="false" customHeight="false" outlineLevel="0" collapsed="false">
      <c r="B27" s="1" t="s">
        <v>58</v>
      </c>
      <c r="C27" s="18" t="n">
        <f aca="false">C24-C25-C26</f>
        <v>79.2</v>
      </c>
      <c r="D27" s="18" t="n">
        <f aca="false">D24-D25-D26</f>
        <v>78.4</v>
      </c>
      <c r="E27" s="18" t="n">
        <f aca="false">E24-E25-E26</f>
        <v>77.6</v>
      </c>
      <c r="F27" s="18" t="n">
        <f aca="false">F24-F25-F26</f>
        <v>76.8</v>
      </c>
      <c r="G27" s="18" t="n">
        <f aca="false">G24-G25-G26</f>
        <v>76</v>
      </c>
      <c r="H27" s="18" t="n">
        <f aca="false">H24-H25-H26</f>
        <v>75.2</v>
      </c>
    </row>
    <row r="28" customFormat="false" ht="15" hidden="false" customHeight="false" outlineLevel="0" collapsed="false">
      <c r="B28" s="1" t="s">
        <v>52</v>
      </c>
      <c r="C28" s="18" t="n">
        <f aca="false">C24*$M$10</f>
        <v>8</v>
      </c>
      <c r="D28" s="18" t="n">
        <f aca="false">D24*$M$10</f>
        <v>7.92</v>
      </c>
      <c r="E28" s="18" t="n">
        <f aca="false">E24*$M$10</f>
        <v>7.84</v>
      </c>
      <c r="F28" s="18" t="n">
        <f aca="false">F24*$M$10</f>
        <v>7.76</v>
      </c>
      <c r="G28" s="18" t="n">
        <f aca="false">G24*$M$10</f>
        <v>7.68</v>
      </c>
      <c r="H28" s="18" t="n">
        <f aca="false">H24*$M$10</f>
        <v>7.6</v>
      </c>
    </row>
    <row r="30" customFormat="false" ht="15" hidden="false" customHeight="false" outlineLevel="0" collapsed="false">
      <c r="B30" s="3" t="s">
        <v>73</v>
      </c>
      <c r="C30" s="9" t="n">
        <f aca="false">C13+C20+C27</f>
        <v>181.5</v>
      </c>
      <c r="D30" s="9" t="n">
        <f aca="false">D13+D20+D27</f>
        <v>182.6155</v>
      </c>
      <c r="E30" s="9" t="n">
        <f aca="false">E13+E20+E27</f>
        <v>183.2914175</v>
      </c>
      <c r="F30" s="9" t="n">
        <f aca="false">F13+F20+F27</f>
        <v>182.8</v>
      </c>
      <c r="G30" s="9" t="n">
        <f aca="false">G13+G20+G27</f>
        <v>176</v>
      </c>
      <c r="H30" s="9" t="n">
        <f aca="false">H13+H20+H27</f>
        <v>169.2</v>
      </c>
    </row>
    <row r="31" customFormat="false" ht="15" hidden="false" customHeight="false" outlineLevel="0" collapsed="false">
      <c r="B31" s="3" t="s">
        <v>74</v>
      </c>
      <c r="C31" s="9" t="n">
        <f aca="false">C10+C21+C28</f>
        <v>15.5</v>
      </c>
      <c r="D31" s="9" t="n">
        <f aca="false">D10+D21+D28</f>
        <v>15.6755</v>
      </c>
      <c r="E31" s="9" t="n">
        <f aca="false">E10+E21+E28</f>
        <v>15.8183175</v>
      </c>
      <c r="F31" s="9" t="n">
        <f aca="false">F10+F21+F28</f>
        <v>15.9237704875</v>
      </c>
      <c r="G31" s="9" t="n">
        <f aca="false">G10+G21+G28</f>
        <v>15.93</v>
      </c>
      <c r="H31" s="9" t="n">
        <f aca="false">H10+H21+H28</f>
        <v>15.4</v>
      </c>
    </row>
    <row r="32" customFormat="false" ht="15" hidden="false" customHeight="false" outlineLevel="0" collapsed="false">
      <c r="B32" s="3" t="s">
        <v>75</v>
      </c>
      <c r="C32" s="22" t="n">
        <f aca="false">IFERROR(C30/C5,"-")</f>
        <v>4.5375</v>
      </c>
      <c r="D32" s="22" t="n">
        <f aca="false">IFERROR(D30/D5,"-")</f>
        <v>4.38979567307692</v>
      </c>
      <c r="E32" s="22" t="n">
        <f aca="false">IFERROR(E30/E5,"-")</f>
        <v>4.23658047106139</v>
      </c>
      <c r="F32" s="22" t="n">
        <f aca="false">IFERROR(F30/F5,"-")</f>
        <v>4.06271335912608</v>
      </c>
      <c r="G32" s="22" t="n">
        <f aca="false">IFERROR(G30/G5,"-")</f>
        <v>3.76113844053079</v>
      </c>
      <c r="H32" s="22" t="n">
        <f aca="false">IFERROR(H30/H5,"-")</f>
        <v>3.47675166159206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6" min="3" style="1" width="14"/>
  </cols>
  <sheetData>
    <row r="2" customFormat="false" ht="19.7" hidden="false" customHeight="false" outlineLevel="0" collapsed="false">
      <c r="B2" s="2" t="s">
        <v>76</v>
      </c>
    </row>
    <row r="4" customFormat="false" ht="15" hidden="false" customHeight="false" outlineLevel="0" collapsed="false">
      <c r="B4" s="5" t="s">
        <v>77</v>
      </c>
    </row>
    <row r="5" customFormat="false" ht="15" hidden="false" customHeight="false" outlineLevel="0" collapsed="false">
      <c r="B5" s="1" t="s">
        <v>78</v>
      </c>
      <c r="C5" s="23" t="n">
        <v>40</v>
      </c>
    </row>
    <row r="6" customFormat="false" ht="15" hidden="false" customHeight="false" outlineLevel="0" collapsed="false">
      <c r="B6" s="1" t="s">
        <v>79</v>
      </c>
      <c r="C6" s="24" t="n">
        <v>7.5</v>
      </c>
    </row>
    <row r="7" customFormat="false" ht="15" hidden="false" customHeight="false" outlineLevel="0" collapsed="false">
      <c r="B7" s="1" t="s">
        <v>80</v>
      </c>
      <c r="C7" s="9" t="n">
        <f aca="false">C5*C6</f>
        <v>300</v>
      </c>
    </row>
    <row r="8" customFormat="false" ht="15" hidden="false" customHeight="false" outlineLevel="0" collapsed="false">
      <c r="B8" s="1" t="s">
        <v>81</v>
      </c>
      <c r="C8" s="25" t="n">
        <f aca="false">'Sources &amp; Uses'!C9</f>
        <v>115</v>
      </c>
    </row>
    <row r="10" customFormat="false" ht="15" hidden="false" customHeight="false" outlineLevel="0" collapsed="false">
      <c r="B10" s="5" t="s">
        <v>82</v>
      </c>
    </row>
    <row r="11" customFormat="false" ht="15" hidden="false" customHeight="false" outlineLevel="0" collapsed="false">
      <c r="B11" s="1" t="s">
        <v>83</v>
      </c>
      <c r="C11" s="25" t="n">
        <f aca="false">'Debt Schedule'!H5</f>
        <v>48.666116096</v>
      </c>
      <c r="D11" s="3" t="s">
        <v>15</v>
      </c>
      <c r="E11" s="3" t="s">
        <v>41</v>
      </c>
    </row>
    <row r="12" customFormat="false" ht="15" hidden="false" customHeight="false" outlineLevel="0" collapsed="false">
      <c r="B12" s="1" t="s">
        <v>84</v>
      </c>
      <c r="C12" s="26" t="n">
        <f aca="false">IFERROR(IF(Cover!$C$11="Downside",E12,D12),"-")</f>
        <v>8</v>
      </c>
      <c r="D12" s="24" t="n">
        <v>8</v>
      </c>
      <c r="E12" s="24" t="n">
        <v>6</v>
      </c>
    </row>
    <row r="13" customFormat="false" ht="15" hidden="false" customHeight="false" outlineLevel="0" collapsed="false">
      <c r="B13" s="1" t="s">
        <v>85</v>
      </c>
      <c r="C13" s="9" t="n">
        <f aca="false">C11*C12</f>
        <v>389.328928768</v>
      </c>
    </row>
    <row r="14" customFormat="false" ht="15" hidden="false" customHeight="false" outlineLevel="0" collapsed="false">
      <c r="B14" s="1" t="s">
        <v>86</v>
      </c>
      <c r="C14" s="25" t="n">
        <f aca="false">'Debt Schedule'!H30</f>
        <v>169.2</v>
      </c>
    </row>
    <row r="15" customFormat="false" ht="15" hidden="false" customHeight="false" outlineLevel="0" collapsed="false">
      <c r="B15" s="1" t="s">
        <v>87</v>
      </c>
      <c r="C15" s="8" t="n">
        <f aca="false">C13-C14</f>
        <v>220.128928768</v>
      </c>
    </row>
    <row r="17" customFormat="false" ht="15" hidden="false" customHeight="false" outlineLevel="0" collapsed="false">
      <c r="B17" s="5" t="s">
        <v>88</v>
      </c>
    </row>
    <row r="18" customFormat="false" ht="15" hidden="false" customHeight="false" outlineLevel="0" collapsed="false">
      <c r="B18" s="1" t="s">
        <v>89</v>
      </c>
      <c r="C18" s="27" t="n">
        <f aca="false">IFERROR(C15/(C8+'Sources &amp; Uses'!C10),"-")</f>
        <v>1.69329945206154</v>
      </c>
      <c r="D18" s="21" t="s">
        <v>90</v>
      </c>
    </row>
    <row r="19" customFormat="false" ht="15" hidden="false" customHeight="false" outlineLevel="0" collapsed="false">
      <c r="B19" s="1" t="s">
        <v>91</v>
      </c>
      <c r="C19" s="11" t="n">
        <f aca="false">Cover!C9</f>
        <v>5</v>
      </c>
    </row>
    <row r="20" customFormat="false" ht="15" hidden="false" customHeight="false" outlineLevel="0" collapsed="false">
      <c r="B20" s="1" t="s">
        <v>92</v>
      </c>
      <c r="C20" s="28" t="n">
        <f aca="false">IFERROR(C18^(1/C19)-1,"-")</f>
        <v>0.111083641630207</v>
      </c>
    </row>
    <row r="22" customFormat="false" ht="15" hidden="false" customHeight="false" outlineLevel="0" collapsed="false">
      <c r="B22" s="5" t="s">
        <v>93</v>
      </c>
    </row>
    <row r="23" customFormat="false" ht="15" hidden="false" customHeight="false" outlineLevel="0" collapsed="false">
      <c r="B23" s="1" t="s">
        <v>94</v>
      </c>
      <c r="C23" s="12" t="n">
        <f aca="false">'Sources &amp; Uses'!C9+'Sources &amp; Uses'!C10</f>
        <v>130</v>
      </c>
    </row>
    <row r="24" customFormat="false" ht="15" hidden="false" customHeight="false" outlineLevel="0" collapsed="false">
      <c r="B24" s="1" t="s">
        <v>95</v>
      </c>
      <c r="C24" s="15" t="n">
        <f aca="false">IFERROR('Sources &amp; Uses'!C10/C23,"-")</f>
        <v>0.115384615384615</v>
      </c>
    </row>
    <row r="25" customFormat="false" ht="15" hidden="false" customHeight="false" outlineLevel="0" collapsed="false">
      <c r="B25" s="1" t="s">
        <v>96</v>
      </c>
      <c r="C25" s="14" t="n">
        <v>0.2</v>
      </c>
    </row>
    <row r="26" customFormat="false" ht="15" hidden="false" customHeight="false" outlineLevel="0" collapsed="false">
      <c r="B26" s="1" t="s">
        <v>97</v>
      </c>
      <c r="C26" s="14" t="n">
        <v>0.2</v>
      </c>
    </row>
    <row r="27" customFormat="false" ht="15" hidden="false" customHeight="false" outlineLevel="0" collapsed="false">
      <c r="B27" s="1" t="s">
        <v>98</v>
      </c>
      <c r="C27" s="13" t="n">
        <f aca="false">IFERROR(C23*(1+C25)^C19,"-")</f>
        <v>323.4816</v>
      </c>
    </row>
    <row r="28" customFormat="false" ht="15" hidden="false" customHeight="false" outlineLevel="0" collapsed="false">
      <c r="B28" s="1" t="s">
        <v>99</v>
      </c>
      <c r="C28" s="13" t="n">
        <f aca="false">MAX(0,C15-C27)</f>
        <v>0</v>
      </c>
    </row>
    <row r="29" customFormat="false" ht="15" hidden="false" customHeight="false" outlineLevel="0" collapsed="false">
      <c r="B29" s="1" t="s">
        <v>100</v>
      </c>
      <c r="C29" s="29" t="n">
        <f aca="false">C28*C26</f>
        <v>0</v>
      </c>
    </row>
    <row r="30" customFormat="false" ht="15" hidden="false" customHeight="false" outlineLevel="0" collapsed="false">
      <c r="B30" s="1" t="s">
        <v>101</v>
      </c>
      <c r="C30" s="29" t="n">
        <f aca="false">IFERROR(C24*C15+C29,"-")</f>
        <v>25.3994917809231</v>
      </c>
    </row>
    <row r="31" customFormat="false" ht="15" hidden="false" customHeight="false" outlineLevel="0" collapsed="false">
      <c r="B31" s="1" t="s">
        <v>102</v>
      </c>
      <c r="C31" s="29" t="n">
        <f aca="false">IFERROR(C15-C30,"-")</f>
        <v>194.729436987077</v>
      </c>
    </row>
    <row r="32" customFormat="false" ht="15" hidden="false" customHeight="false" outlineLevel="0" collapsed="false">
      <c r="B32" s="1" t="s">
        <v>103</v>
      </c>
      <c r="C32" s="30" t="n">
        <f aca="false">IFERROR(C31/'Sources &amp; Uses'!C9,"-")</f>
        <v>1.69329945206154</v>
      </c>
    </row>
    <row r="33" customFormat="false" ht="15" hidden="false" customHeight="false" outlineLevel="0" collapsed="false">
      <c r="B33" s="1" t="s">
        <v>104</v>
      </c>
      <c r="C33" s="31" t="n">
        <f aca="false">IFERROR(C32^(1/C19)-1,"-")</f>
        <v>0.111083641630207</v>
      </c>
      <c r="D33" s="21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7" min="3" style="1" width="12"/>
  </cols>
  <sheetData>
    <row r="2" customFormat="false" ht="19.7" hidden="false" customHeight="false" outlineLevel="0" collapsed="false">
      <c r="B2" s="2" t="s">
        <v>106</v>
      </c>
    </row>
    <row r="4" customFormat="false" ht="15" hidden="false" customHeight="false" outlineLevel="0" collapsed="false">
      <c r="B4" s="5" t="s">
        <v>107</v>
      </c>
      <c r="C4" s="32" t="n">
        <v>7</v>
      </c>
      <c r="D4" s="32" t="n">
        <v>8</v>
      </c>
      <c r="E4" s="32" t="n">
        <v>9</v>
      </c>
      <c r="F4" s="32" t="n">
        <v>10</v>
      </c>
      <c r="G4" s="32" t="n">
        <v>11</v>
      </c>
    </row>
    <row r="5" customFormat="false" ht="15" hidden="false" customHeight="false" outlineLevel="0" collapsed="false">
      <c r="B5" s="32" t="n">
        <v>6</v>
      </c>
      <c r="C5" s="21" t="s">
        <v>108</v>
      </c>
      <c r="D5" s="21" t="s">
        <v>108</v>
      </c>
      <c r="E5" s="21" t="s">
        <v>108</v>
      </c>
      <c r="F5" s="21" t="s">
        <v>108</v>
      </c>
      <c r="G5" s="21" t="s">
        <v>108</v>
      </c>
    </row>
    <row r="6" customFormat="false" ht="15" hidden="false" customHeight="false" outlineLevel="0" collapsed="false">
      <c r="B6" s="32" t="n">
        <v>7</v>
      </c>
      <c r="C6" s="21" t="s">
        <v>108</v>
      </c>
      <c r="D6" s="21" t="s">
        <v>108</v>
      </c>
      <c r="E6" s="21" t="s">
        <v>108</v>
      </c>
      <c r="F6" s="21" t="s">
        <v>108</v>
      </c>
      <c r="G6" s="21" t="s">
        <v>108</v>
      </c>
    </row>
    <row r="7" customFormat="false" ht="15" hidden="false" customHeight="false" outlineLevel="0" collapsed="false">
      <c r="B7" s="32" t="n">
        <v>8</v>
      </c>
      <c r="C7" s="21" t="s">
        <v>108</v>
      </c>
      <c r="D7" s="21" t="s">
        <v>108</v>
      </c>
      <c r="E7" s="21" t="s">
        <v>108</v>
      </c>
      <c r="F7" s="21" t="s">
        <v>108</v>
      </c>
      <c r="G7" s="21" t="s">
        <v>108</v>
      </c>
    </row>
    <row r="8" customFormat="false" ht="15" hidden="false" customHeight="false" outlineLevel="0" collapsed="false">
      <c r="B8" s="32" t="n">
        <v>9</v>
      </c>
      <c r="C8" s="21" t="s">
        <v>108</v>
      </c>
      <c r="D8" s="21" t="s">
        <v>108</v>
      </c>
      <c r="E8" s="21" t="s">
        <v>108</v>
      </c>
      <c r="F8" s="21" t="s">
        <v>108</v>
      </c>
      <c r="G8" s="21" t="s">
        <v>108</v>
      </c>
    </row>
    <row r="9" customFormat="false" ht="15" hidden="false" customHeight="false" outlineLevel="0" collapsed="false">
      <c r="B9" s="32" t="n">
        <v>10</v>
      </c>
      <c r="C9" s="21" t="s">
        <v>108</v>
      </c>
      <c r="D9" s="21" t="s">
        <v>108</v>
      </c>
      <c r="E9" s="21" t="s">
        <v>108</v>
      </c>
      <c r="F9" s="21" t="s">
        <v>108</v>
      </c>
      <c r="G9" s="21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109</v>
      </c>
    </row>
    <row r="4" customFormat="false" ht="15" hidden="false" customHeight="false" outlineLevel="0" collapsed="false">
      <c r="B4" s="10" t="s">
        <v>110</v>
      </c>
      <c r="C4" s="10" t="s">
        <v>111</v>
      </c>
      <c r="D4" s="10" t="s">
        <v>112</v>
      </c>
      <c r="E4" s="10" t="s">
        <v>113</v>
      </c>
      <c r="F4" s="10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2026-08-04T15:09:58Z</dcterms:created>
  <dc:creator>openpyxl</dc:creator>
  <dc:description/>
  <dc:language>en-US</dc:language>
  <cp:lastModifiedBy/>
  <dcterms:modified xsi:type="dcterms:W3CDTF">2026-08-04T15:10:33Z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