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Fund NAV" sheetId="2" state="visible" r:id="rId4"/>
    <sheet name="Fee Waterfall" sheetId="3" state="visible" r:id="rId5"/>
    <sheet name="GP Carry &amp; Clawback" sheetId="4" state="visible" r:id="rId6"/>
    <sheet name="Performance Attribution" sheetId="5" state="visible" r:id="rId7"/>
    <sheet name="Fund Performance" sheetId="6" state="visible" r:id="rId8"/>
    <sheet name="Sources" sheetId="7" state="visible" r:id="rId9"/>
    <sheet name="Checks" sheetId="8" state="visible" r:id="rId10"/>
    <sheet name="RefreshLog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<sst xmlns="http://schemas.openxmlformats.org/spreadsheetml/2006/main" count="139" uniqueCount="121">
  <si>
    <t xml:space="preserve">[FUND] — Asset Management Model</t>
  </si>
  <si>
    <t xml:space="preserve">Fund structure:</t>
  </si>
  <si>
    <t xml:space="preserve">Hedge fund / PE fund / mutual fund</t>
  </si>
  <si>
    <t xml:space="preserve">Vintage / inception:</t>
  </si>
  <si>
    <t xml:space="preserve">[date]</t>
  </si>
  <si>
    <t xml:space="preserve">Last refreshed:</t>
  </si>
  <si>
    <t xml:space="preserve">Next capital call/distribution:</t>
  </si>
  <si>
    <t xml:space="preserve">Refresh cadence:</t>
  </si>
  <si>
    <t xml:space="preserve">Weekly (monthly NAV strike)</t>
  </si>
  <si>
    <t xml:space="preserve">Fund NAV Build</t>
  </si>
  <si>
    <t xml:space="preserve">Period 0</t>
  </si>
  <si>
    <t xml:space="preserve">Period 1</t>
  </si>
  <si>
    <t xml:space="preserve">Period 2</t>
  </si>
  <si>
    <t xml:space="preserve">Period 3</t>
  </si>
  <si>
    <t xml:space="preserve">Beginning NAV</t>
  </si>
  <si>
    <t xml:space="preserve">+ Capital contributions</t>
  </si>
  <si>
    <t xml:space="preserve">+ Realized/unrealized gains</t>
  </si>
  <si>
    <t xml:space="preserve">- Fees &amp; expenses</t>
  </si>
  <si>
    <t xml:space="preserve">- Distributions</t>
  </si>
  <si>
    <t xml:space="preserve">Ending NAV</t>
  </si>
  <si>
    <t xml:space="preserve">Fee Waterfall — Mgmt Fee + Carry w/ Hurdle</t>
  </si>
  <si>
    <t xml:space="preserve">Inputs</t>
  </si>
  <si>
    <t xml:space="preserve">Committed capital</t>
  </si>
  <si>
    <t xml:space="preserve">Management fee %</t>
  </si>
  <si>
    <t xml:space="preserve">Preferred return / hurdle %</t>
  </si>
  <si>
    <t xml:space="preserve">Carry / promote %</t>
  </si>
  <si>
    <t xml:space="preserve">GP catch-up %</t>
  </si>
  <si>
    <t xml:space="preserve">Gross fund profit (this period)</t>
  </si>
  <si>
    <t xml:space="preserve">Capital invested (basis for hurdle)</t>
  </si>
  <si>
    <t xml:space="preserve">Waterfall</t>
  </si>
  <si>
    <t xml:space="preserve">1. Return of capital</t>
  </si>
  <si>
    <t xml:space="preserve">2. Preferred return (hurdle) to LPs</t>
  </si>
  <si>
    <t xml:space="preserve">3. GP catch-up tranche (total, before GP/LP split)</t>
  </si>
  <si>
    <t xml:space="preserve">General catch-up formula for an arbitrary catch-up rate C9 (not hardcoded to 100%): tranche size = pref x carry% / (catch-up% - carry%). At C9=100% this collapses to the standard pref x carry%/(1-carry%) formula.</t>
  </si>
  <si>
    <t xml:space="preserve">   GP share of catch-up tranche (x catch-up %)</t>
  </si>
  <si>
    <t xml:space="preserve">   LP share of catch-up tranche (x (1 - catch-up %))</t>
  </si>
  <si>
    <t xml:space="preserve">4. Remaining profit split (LP/GP per carry%)</t>
  </si>
  <si>
    <t xml:space="preserve">   GP share of remainder</t>
  </si>
  <si>
    <t xml:space="preserve">   LP share of remainder</t>
  </si>
  <si>
    <t xml:space="preserve">Total GP take (catch-up + carry)</t>
  </si>
  <si>
    <t xml:space="preserve">Total LP take</t>
  </si>
  <si>
    <t xml:space="preserve">Annual management fee (separate from carry)</t>
  </si>
  <si>
    <t xml:space="preserve">GP effective carry % of total profit (sanity check — should trend to C8 as profit grows)</t>
  </si>
  <si>
    <t xml:space="preserve">GP Carry &amp; Clawback — Whole-Fund (European) Waterfall</t>
  </si>
  <si>
    <t xml:space="preserve">Re-runs the SAME waterfall as the Fee Waterfall tab, but cumulatively through each period rather than once. That's what a whole-fund/European waterfall actually is: carry earned to date is always a function of CUMULATIVE fund performance, so a later markdown can make previously-paid carry excessive -- a clawback obligation -- which a single-period calc can never show.</t>
  </si>
  <si>
    <t xml:space="preserve">Cumulative capital contributed</t>
  </si>
  <si>
    <t xml:space="preserve">Cumulative net gains (gains less fees)</t>
  </si>
  <si>
    <t xml:space="preserve">Cumulative distributable value (capital + net gains)</t>
  </si>
  <si>
    <t xml:space="preserve">Cumulative waterfall (hurdle/carry/catch-up % from Fee Waterfall tab)</t>
  </si>
  <si>
    <t xml:space="preserve">Return of capital (cumulative)</t>
  </si>
  <si>
    <t xml:space="preserve">Preferred return (cumulative)</t>
  </si>
  <si>
    <t xml:space="preserve">GP catch-up tranche (cumulative)</t>
  </si>
  <si>
    <t xml:space="preserve">  GP share of catch-up</t>
  </si>
  <si>
    <t xml:space="preserve">Remainder above catch-up (cumulative)</t>
  </si>
  <si>
    <t xml:space="preserve">  GP share of remainder</t>
  </si>
  <si>
    <t xml:space="preserve">Cumulative GP carry earned through this period</t>
  </si>
  <si>
    <t xml:space="preserve">Incremental GP carry this period</t>
  </si>
  <si>
    <t xml:space="preserve">Running total carry paid to GP</t>
  </si>
  <si>
    <t xml:space="preserve">Clawback status</t>
  </si>
  <si>
    <t xml:space="preserve">Performance Attribution</t>
  </si>
  <si>
    <t xml:space="preserve">Position/Strategy</t>
  </si>
  <si>
    <t xml:space="preserve">Contribution ($)</t>
  </si>
  <si>
    <t xml:space="preserve">Contribution (%)</t>
  </si>
  <si>
    <t xml:space="preserve">Weight (%)</t>
  </si>
  <si>
    <t xml:space="preserve">Notes</t>
  </si>
  <si>
    <t xml:space="preserve">[fill in]</t>
  </si>
  <si>
    <t xml:space="preserve">Total fund return</t>
  </si>
  <si>
    <t xml:space="preserve">Fund Performance — LP Reporting Metrics</t>
  </si>
  <si>
    <t xml:space="preserve">Uses the period cash flows and ending NAV from the Fund NAV tab.</t>
  </si>
  <si>
    <t xml:space="preserve">LP net cash flow (distributions - contributions)</t>
  </si>
  <si>
    <t xml:space="preserve">  + terminal NAV added to final period</t>
  </si>
  <si>
    <t xml:space="preserve">LP cash flow incl. terminal value (for IRR)</t>
  </si>
  <si>
    <t xml:space="preserve">Outputs</t>
  </si>
  <si>
    <t xml:space="preserve">Cumulative capital called</t>
  </si>
  <si>
    <t xml:space="preserve">Cumulative distributions</t>
  </si>
  <si>
    <t xml:space="preserve">Current NAV (residual value)</t>
  </si>
  <si>
    <t xml:space="preserve">DPI (Distributions to Paid-In)</t>
  </si>
  <si>
    <t xml:space="preserve">RVPI (Residual Value to Paid-In)</t>
  </si>
  <si>
    <t xml:space="preserve">TVPI (Total Value to Paid-In = DPI + RVPI)</t>
  </si>
  <si>
    <t xml:space="preserve">Headline LP metric — total value (realized + unrealized) per dollar called</t>
  </si>
  <si>
    <t xml:space="preserve">Net IRR to LPs (periodic, undated)</t>
  </si>
  <si>
    <t xml:space="preserve">Treats each period as evenly spaced — use XIRR with real dates for called capital at irregular intervals</t>
  </si>
  <si>
    <t xml:space="preserve">Sources</t>
  </si>
  <si>
    <t xml:space="preserve">What each material assumption or convention in this model comes from.</t>
  </si>
  <si>
    <t xml:space="preserve">Assumption / convention</t>
  </si>
  <si>
    <t xml:space="preserve">Source</t>
  </si>
  <si>
    <t xml:space="preserve">As of</t>
  </si>
  <si>
    <t xml:space="preserve">Note</t>
  </si>
  <si>
    <t xml:space="preserve">Waterfall structure (ROC -&gt; pref -&gt; GP catch-up -&gt; carry split)</t>
  </si>
  <si>
    <t xml:space="preserve">Standard private-fund LPA waterfall mechanics</t>
  </si>
  <si>
    <t xml:space="preserve">Standard practice</t>
  </si>
  <si>
    <t xml:space="preserve">Whole-fund/European structure (cumulative), not deal-by-deal/American</t>
  </si>
  <si>
    <t xml:space="preserve">General catch-up formula for an arbitrary catch-up rate</t>
  </si>
  <si>
    <t xml:space="preserve">Derived from the target-carry identity GP_catchup/(pref+catchup)=carry%, solved for a catch-up tranche paid at rate g</t>
  </si>
  <si>
    <t xml:space="preserve">Derived, not copied from a single source</t>
  </si>
  <si>
    <t xml:space="preserve">Collapses to the standard 100%-catch-up formula when the catch-up rate = 100%</t>
  </si>
  <si>
    <t xml:space="preserve">Default fee terms (2% mgmt, 8% hurdle, 20% carry, 100% catch-up)</t>
  </si>
  <si>
    <t xml:space="preserve">Common industry-standard private-fund terms</t>
  </si>
  <si>
    <t xml:space="preserve">Illustrative defaults; replace with the actual LPA's terms</t>
  </si>
  <si>
    <t xml:space="preserve">TVPI/DPI/RVPI and periodic IRR</t>
  </si>
  <si>
    <t xml:space="preserve">Standard LP-reporting metric definitions (ILPA-style)</t>
  </si>
  <si>
    <t xml:space="preserve">Periodic IRR treats periods as evenly spaced -- use XIRR with real dates for irregular capital calls</t>
  </si>
  <si>
    <t xml:space="preserve">Checks</t>
  </si>
  <si>
    <t xml:space="preserve">Live reconciliation identities -- independent of the model's own formulas, must tie.</t>
  </si>
  <si>
    <t xml:space="preserve">Check</t>
  </si>
  <si>
    <t xml:space="preserve">Result</t>
  </si>
  <si>
    <t xml:space="preserve">Passes when</t>
  </si>
  <si>
    <t xml:space="preserve">Waterfall conserves: GP take + LP take = total distributable value (Fee Waterfall)</t>
  </si>
  <si>
    <t xml:space="preserve">0 (exact) -- every dollar of distributable value lands with either the GP or the LPs</t>
  </si>
  <si>
    <t xml:space="preserve">Cumulative carry reconstructs from its own increments (Period 3)</t>
  </si>
  <si>
    <t xml:space="preserve">0 (exact) -- the running total of incremental carry must equal the cumulative figure it was built from</t>
  </si>
  <si>
    <t xml:space="preserve">GP catch-up tranche is zero whenever catch-up % &lt;= carry % (guards the division)</t>
  </si>
  <si>
    <t xml:space="preserve">TRUE</t>
  </si>
  <si>
    <t xml:space="preserve">TVPI = DPI + RVPI identity</t>
  </si>
  <si>
    <t xml:space="preserve">0 (exact) once capital has been called; "-" on a blank template</t>
  </si>
  <si>
    <t xml:space="preserve">Refresh Log</t>
  </si>
  <si>
    <t xml:space="preserve">Date</t>
  </si>
  <si>
    <t xml:space="preserve">Trigger</t>
  </si>
  <si>
    <t xml:space="preserve">What changed</t>
  </si>
  <si>
    <t xml:space="preserve">Reviewer notes</t>
  </si>
  <si>
    <t xml:space="preserve">Next check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</si>
</sst>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0.00%;\(0.00%\);\-"/>
    <numFmt numFmtId="168" formatCode="0.0\x"/>
    <numFmt numFmtId="169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D9D9"/>
        <bgColor rgb="FFBFBFB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4"/>
  </cols>
  <sheetData>
    <row r="2" customFormat="false" ht="19.7" hidden="false" customHeight="false" outlineLevel="0" collapsed="false">
      <c r="B2" s="2" t="s">
        <v>0</v>
      </c>
    </row>
    <row r="4" customFormat="false" ht="15" hidden="false" customHeight="false" outlineLevel="0" collapsed="false">
      <c r="B4" s="3" t="s">
        <v>1</v>
      </c>
      <c r="C4" s="4" t="s">
        <v>2</v>
      </c>
    </row>
    <row r="5" customFormat="false" ht="15" hidden="false" customHeight="false" outlineLevel="0" collapsed="false">
      <c r="B5" s="3" t="s">
        <v>3</v>
      </c>
      <c r="C5" s="4" t="s">
        <v>4</v>
      </c>
    </row>
    <row r="6" customFormat="false" ht="15" hidden="false" customHeight="false" outlineLevel="0" collapsed="false">
      <c r="B6" s="3" t="s">
        <v>5</v>
      </c>
      <c r="C6" s="4" t="s">
        <v>4</v>
      </c>
    </row>
    <row r="7" customFormat="false" ht="15" hidden="false" customHeight="false" outlineLevel="0" collapsed="false">
      <c r="B7" s="3" t="s">
        <v>6</v>
      </c>
      <c r="C7" s="4" t="s">
        <v>4</v>
      </c>
    </row>
    <row r="8" customFormat="false" ht="15" hidden="false" customHeight="false" outlineLevel="0" collapsed="false">
      <c r="B8" s="3" t="s">
        <v>7</v>
      </c>
      <c r="C8" s="4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6" min="3" style="1" width="14"/>
  </cols>
  <sheetData>
    <row r="2" customFormat="false" ht="19.7" hidden="false" customHeight="false" outlineLevel="0" collapsed="false">
      <c r="B2" s="2" t="s">
        <v>9</v>
      </c>
    </row>
    <row r="4" customFormat="false" ht="15" hidden="false" customHeight="false" outlineLevel="0" collapsed="false">
      <c r="C4" s="5" t="s">
        <v>10</v>
      </c>
      <c r="D4" s="5" t="s">
        <v>11</v>
      </c>
      <c r="E4" s="5" t="s">
        <v>12</v>
      </c>
      <c r="F4" s="5" t="s">
        <v>13</v>
      </c>
    </row>
    <row r="5" customFormat="false" ht="15" hidden="false" customHeight="false" outlineLevel="0" collapsed="false">
      <c r="B5" s="3" t="s">
        <v>14</v>
      </c>
      <c r="C5" s="6" t="n">
        <v>0</v>
      </c>
      <c r="D5" s="6" t="n">
        <f aca="false">C10</f>
        <v>0</v>
      </c>
      <c r="E5" s="6" t="n">
        <f aca="false">D10</f>
        <v>0</v>
      </c>
      <c r="F5" s="6" t="n">
        <f aca="false">E10</f>
        <v>0</v>
      </c>
    </row>
    <row r="6" customFormat="false" ht="15" hidden="false" customHeight="false" outlineLevel="0" collapsed="false">
      <c r="B6" s="7" t="s">
        <v>15</v>
      </c>
      <c r="C6" s="6" t="n">
        <v>0</v>
      </c>
      <c r="D6" s="6" t="n">
        <v>0</v>
      </c>
      <c r="E6" s="6" t="n">
        <v>0</v>
      </c>
      <c r="F6" s="6" t="n">
        <v>0</v>
      </c>
    </row>
    <row r="7" customFormat="false" ht="15" hidden="false" customHeight="false" outlineLevel="0" collapsed="false">
      <c r="B7" s="7" t="s">
        <v>16</v>
      </c>
      <c r="C7" s="6" t="n">
        <v>0</v>
      </c>
      <c r="D7" s="6" t="n">
        <v>0</v>
      </c>
      <c r="E7" s="6" t="n">
        <v>0</v>
      </c>
      <c r="F7" s="6" t="n">
        <v>0</v>
      </c>
    </row>
    <row r="8" customFormat="false" ht="15" hidden="false" customHeight="false" outlineLevel="0" collapsed="false">
      <c r="B8" s="7" t="s">
        <v>17</v>
      </c>
      <c r="C8" s="6" t="n">
        <v>0</v>
      </c>
      <c r="D8" s="6" t="n">
        <v>0</v>
      </c>
      <c r="E8" s="6" t="n">
        <v>0</v>
      </c>
      <c r="F8" s="6" t="n">
        <v>0</v>
      </c>
    </row>
    <row r="9" customFormat="false" ht="15" hidden="false" customHeight="false" outlineLevel="0" collapsed="false">
      <c r="B9" s="7" t="s">
        <v>18</v>
      </c>
      <c r="C9" s="6" t="n">
        <v>0</v>
      </c>
      <c r="D9" s="6" t="n">
        <v>0</v>
      </c>
      <c r="E9" s="6" t="n">
        <v>0</v>
      </c>
      <c r="F9" s="6" t="n">
        <v>0</v>
      </c>
    </row>
    <row r="10" customFormat="false" ht="15" hidden="false" customHeight="false" outlineLevel="0" collapsed="false">
      <c r="B10" s="3" t="s">
        <v>19</v>
      </c>
      <c r="C10" s="8" t="n">
        <f aca="false">C5+C6+C7-C8-C9</f>
        <v>0</v>
      </c>
      <c r="D10" s="8" t="n">
        <f aca="false">D5+D6+D7-D8-D9</f>
        <v>0</v>
      </c>
      <c r="E10" s="8" t="n">
        <f aca="false">E5+E6+E7-E8-E9</f>
        <v>0</v>
      </c>
      <c r="F10" s="8" t="n">
        <f aca="false">F5+F6+F7-F8-F9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40"/>
  </cols>
  <sheetData>
    <row r="2" customFormat="false" ht="19.7" hidden="false" customHeight="false" outlineLevel="0" collapsed="false">
      <c r="B2" s="2" t="s">
        <v>20</v>
      </c>
    </row>
    <row r="4" customFormat="false" ht="15" hidden="false" customHeight="false" outlineLevel="0" collapsed="false">
      <c r="B4" s="9" t="s">
        <v>21</v>
      </c>
    </row>
    <row r="5" customFormat="false" ht="15" hidden="false" customHeight="false" outlineLevel="0" collapsed="false">
      <c r="B5" s="7" t="s">
        <v>22</v>
      </c>
      <c r="C5" s="10" t="n">
        <v>0</v>
      </c>
    </row>
    <row r="6" customFormat="false" ht="15" hidden="false" customHeight="false" outlineLevel="0" collapsed="false">
      <c r="B6" s="7" t="s">
        <v>23</v>
      </c>
      <c r="C6" s="11" t="n">
        <v>0.02</v>
      </c>
    </row>
    <row r="7" customFormat="false" ht="15" hidden="false" customHeight="false" outlineLevel="0" collapsed="false">
      <c r="B7" s="7" t="s">
        <v>24</v>
      </c>
      <c r="C7" s="11" t="n">
        <v>0.08</v>
      </c>
    </row>
    <row r="8" customFormat="false" ht="15" hidden="false" customHeight="false" outlineLevel="0" collapsed="false">
      <c r="B8" s="7" t="s">
        <v>25</v>
      </c>
      <c r="C8" s="11" t="n">
        <v>0.2</v>
      </c>
    </row>
    <row r="9" customFormat="false" ht="15" hidden="false" customHeight="false" outlineLevel="0" collapsed="false">
      <c r="B9" s="7" t="s">
        <v>26</v>
      </c>
      <c r="C9" s="11" t="n">
        <v>1</v>
      </c>
    </row>
    <row r="10" customFormat="false" ht="15" hidden="false" customHeight="false" outlineLevel="0" collapsed="false">
      <c r="B10" s="7" t="s">
        <v>27</v>
      </c>
      <c r="C10" s="10" t="n">
        <v>0</v>
      </c>
    </row>
    <row r="11" customFormat="false" ht="15" hidden="false" customHeight="false" outlineLevel="0" collapsed="false">
      <c r="B11" s="7" t="s">
        <v>28</v>
      </c>
      <c r="C11" s="10" t="n">
        <v>0</v>
      </c>
    </row>
    <row r="13" customFormat="false" ht="15" hidden="false" customHeight="false" outlineLevel="0" collapsed="false">
      <c r="B13" s="9" t="s">
        <v>29</v>
      </c>
    </row>
    <row r="14" customFormat="false" ht="15" hidden="false" customHeight="false" outlineLevel="0" collapsed="false">
      <c r="B14" s="1" t="s">
        <v>30</v>
      </c>
      <c r="C14" s="12" t="n">
        <f aca="false">MIN(C10,C11)</f>
        <v>0</v>
      </c>
    </row>
    <row r="15" customFormat="false" ht="15" hidden="false" customHeight="false" outlineLevel="0" collapsed="false">
      <c r="B15" s="1" t="s">
        <v>31</v>
      </c>
      <c r="C15" s="12" t="n">
        <f aca="false">MIN(MAX(C10-C14,0),C11*C7)</f>
        <v>0</v>
      </c>
    </row>
    <row r="16" customFormat="false" ht="15" hidden="false" customHeight="false" outlineLevel="0" collapsed="false">
      <c r="B16" s="1" t="s">
        <v>32</v>
      </c>
      <c r="C16" s="12" t="n">
        <f aca="false">IF(C9&lt;=C8,0,MIN(MAX(C10-C14-C15,0),C15*C8/(C9-C8)))</f>
        <v>0</v>
      </c>
      <c r="D16" s="13" t="s">
        <v>33</v>
      </c>
    </row>
    <row r="17" customFormat="false" ht="15" hidden="false" customHeight="false" outlineLevel="0" collapsed="false">
      <c r="B17" s="1" t="s">
        <v>34</v>
      </c>
      <c r="C17" s="12" t="n">
        <f aca="false">C16*C9</f>
        <v>0</v>
      </c>
    </row>
    <row r="18" customFormat="false" ht="15" hidden="false" customHeight="false" outlineLevel="0" collapsed="false">
      <c r="B18" s="1" t="s">
        <v>35</v>
      </c>
      <c r="C18" s="12" t="n">
        <f aca="false">C16*(1-C9)</f>
        <v>0</v>
      </c>
    </row>
    <row r="19" customFormat="false" ht="15" hidden="false" customHeight="false" outlineLevel="0" collapsed="false">
      <c r="B19" s="1" t="s">
        <v>36</v>
      </c>
      <c r="C19" s="12" t="n">
        <f aca="false">MAX(C10-C14-C15-C16,0)</f>
        <v>0</v>
      </c>
    </row>
    <row r="20" customFormat="false" ht="15" hidden="false" customHeight="false" outlineLevel="0" collapsed="false">
      <c r="B20" s="1" t="s">
        <v>37</v>
      </c>
      <c r="C20" s="12" t="n">
        <f aca="false">C19*C8</f>
        <v>0</v>
      </c>
    </row>
    <row r="21" customFormat="false" ht="15" hidden="false" customHeight="false" outlineLevel="0" collapsed="false">
      <c r="B21" s="1" t="s">
        <v>38</v>
      </c>
      <c r="C21" s="12" t="n">
        <f aca="false">C19*(1-C8)</f>
        <v>0</v>
      </c>
    </row>
    <row r="23" customFormat="false" ht="15" hidden="false" customHeight="false" outlineLevel="0" collapsed="false">
      <c r="B23" s="1" t="s">
        <v>39</v>
      </c>
      <c r="C23" s="8" t="n">
        <f aca="false">C17+C20</f>
        <v>0</v>
      </c>
    </row>
    <row r="24" customFormat="false" ht="15" hidden="false" customHeight="false" outlineLevel="0" collapsed="false">
      <c r="B24" s="1" t="s">
        <v>40</v>
      </c>
      <c r="C24" s="8" t="n">
        <f aca="false">C14+C15+C18+C21</f>
        <v>0</v>
      </c>
    </row>
    <row r="25" customFormat="false" ht="15" hidden="false" customHeight="false" outlineLevel="0" collapsed="false">
      <c r="B25" s="1" t="s">
        <v>41</v>
      </c>
      <c r="C25" s="12" t="n">
        <f aca="false">C5*C6</f>
        <v>0</v>
      </c>
    </row>
    <row r="26" customFormat="false" ht="15" hidden="false" customHeight="false" outlineLevel="0" collapsed="false">
      <c r="B26" s="1" t="s">
        <v>42</v>
      </c>
      <c r="C26" s="14" t="str">
        <f aca="false">IFERROR(C23/(C10-C14),"-")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4"/>
    <col collapsed="false" customWidth="true" hidden="false" outlineLevel="0" max="6" min="3" style="1" width="16"/>
  </cols>
  <sheetData>
    <row r="2" customFormat="false" ht="19.7" hidden="false" customHeight="false" outlineLevel="0" collapsed="false">
      <c r="B2" s="2" t="s">
        <v>43</v>
      </c>
    </row>
    <row r="3" customFormat="false" ht="15" hidden="false" customHeight="false" outlineLevel="0" collapsed="false">
      <c r="B3" s="13" t="s">
        <v>44</v>
      </c>
    </row>
    <row r="5" customFormat="false" ht="15" hidden="false" customHeight="false" outlineLevel="0" collapsed="false">
      <c r="C5" s="5" t="s">
        <v>10</v>
      </c>
      <c r="D5" s="5" t="s">
        <v>11</v>
      </c>
      <c r="E5" s="5" t="s">
        <v>12</v>
      </c>
      <c r="F5" s="5" t="s">
        <v>13</v>
      </c>
    </row>
    <row r="6" customFormat="false" ht="15" hidden="false" customHeight="false" outlineLevel="0" collapsed="false">
      <c r="B6" s="1" t="s">
        <v>45</v>
      </c>
      <c r="C6" s="12" t="n">
        <f aca="false">SUM('Fund NAV'!$C$6:C6)</f>
        <v>0</v>
      </c>
      <c r="D6" s="12" t="n">
        <f aca="false">SUM('Fund NAV'!$C$6:D6)</f>
        <v>0</v>
      </c>
      <c r="E6" s="12" t="n">
        <f aca="false">SUM('Fund NAV'!$C$6:E6)</f>
        <v>0</v>
      </c>
      <c r="F6" s="12" t="n">
        <f aca="false">SUM('Fund NAV'!$C$6:F6)</f>
        <v>0</v>
      </c>
    </row>
    <row r="7" customFormat="false" ht="15" hidden="false" customHeight="false" outlineLevel="0" collapsed="false">
      <c r="B7" s="1" t="s">
        <v>46</v>
      </c>
      <c r="C7" s="12" t="n">
        <f aca="false">SUM('Fund NAV'!$C$7:C7)-SUM('Fund NAV'!$C$8:C8)</f>
        <v>0</v>
      </c>
      <c r="D7" s="12" t="n">
        <f aca="false">SUM('Fund NAV'!$C$7:D7)-SUM('Fund NAV'!$C$8:D8)</f>
        <v>0</v>
      </c>
      <c r="E7" s="12" t="n">
        <f aca="false">SUM('Fund NAV'!$C$7:E7)-SUM('Fund NAV'!$C$8:E8)</f>
        <v>0</v>
      </c>
      <c r="F7" s="12" t="n">
        <f aca="false">SUM('Fund NAV'!$C$7:F7)-SUM('Fund NAV'!$C$8:F8)</f>
        <v>0</v>
      </c>
    </row>
    <row r="8" customFormat="false" ht="15" hidden="false" customHeight="false" outlineLevel="0" collapsed="false">
      <c r="B8" s="1" t="s">
        <v>47</v>
      </c>
      <c r="C8" s="12" t="n">
        <f aca="false">C6+C7</f>
        <v>0</v>
      </c>
      <c r="D8" s="12" t="n">
        <f aca="false">D6+D7</f>
        <v>0</v>
      </c>
      <c r="E8" s="12" t="n">
        <f aca="false">E6+E7</f>
        <v>0</v>
      </c>
      <c r="F8" s="12" t="n">
        <f aca="false">F6+F7</f>
        <v>0</v>
      </c>
    </row>
    <row r="10" customFormat="false" ht="15" hidden="false" customHeight="false" outlineLevel="0" collapsed="false">
      <c r="B10" s="9" t="s">
        <v>48</v>
      </c>
    </row>
    <row r="11" customFormat="false" ht="15" hidden="false" customHeight="false" outlineLevel="0" collapsed="false">
      <c r="B11" s="1" t="s">
        <v>49</v>
      </c>
      <c r="C11" s="12" t="n">
        <f aca="false">MIN(C8,C6)</f>
        <v>0</v>
      </c>
      <c r="D11" s="12" t="n">
        <f aca="false">MIN(D8,D6)</f>
        <v>0</v>
      </c>
      <c r="E11" s="12" t="n">
        <f aca="false">MIN(E8,E6)</f>
        <v>0</v>
      </c>
      <c r="F11" s="12" t="n">
        <f aca="false">MIN(F8,F6)</f>
        <v>0</v>
      </c>
    </row>
    <row r="12" customFormat="false" ht="15" hidden="false" customHeight="false" outlineLevel="0" collapsed="false">
      <c r="B12" s="1" t="s">
        <v>50</v>
      </c>
      <c r="C12" s="12" t="n">
        <f aca="false">MIN(MAX(C8-C11,0),C6*'Fee Waterfall'!$C$7)</f>
        <v>0</v>
      </c>
      <c r="D12" s="12" t="n">
        <f aca="false">MIN(MAX(D8-D11,0),D6*'Fee Waterfall'!$C$7)</f>
        <v>0</v>
      </c>
      <c r="E12" s="12" t="n">
        <f aca="false">MIN(MAX(E8-E11,0),E6*'Fee Waterfall'!$C$7)</f>
        <v>0</v>
      </c>
      <c r="F12" s="12" t="n">
        <f aca="false">MIN(MAX(F8-F11,0),F6*'Fee Waterfall'!$C$7)</f>
        <v>0</v>
      </c>
    </row>
    <row r="13" customFormat="false" ht="15" hidden="false" customHeight="false" outlineLevel="0" collapsed="false">
      <c r="B13" s="1" t="s">
        <v>51</v>
      </c>
      <c r="C13" s="12" t="n">
        <f aca="false">IF('Fee Waterfall'!$C$9&lt;='Fee Waterfall'!$C$8,0,MIN(MAX(C8-C11-C12,0),C12*'Fee Waterfall'!$C$8/('Fee Waterfall'!$C$9-'Fee Waterfall'!$C$8)))</f>
        <v>0</v>
      </c>
      <c r="D13" s="12" t="n">
        <f aca="false">IF('Fee Waterfall'!$C$9&lt;='Fee Waterfall'!$C$8,0,MIN(MAX(D8-D11-D12,0),D12*'Fee Waterfall'!$C$8/('Fee Waterfall'!$C$9-'Fee Waterfall'!$C$8)))</f>
        <v>0</v>
      </c>
      <c r="E13" s="12" t="n">
        <f aca="false">IF('Fee Waterfall'!$C$9&lt;='Fee Waterfall'!$C$8,0,MIN(MAX(E8-E11-E12,0),E12*'Fee Waterfall'!$C$8/('Fee Waterfall'!$C$9-'Fee Waterfall'!$C$8)))</f>
        <v>0</v>
      </c>
      <c r="F13" s="12" t="n">
        <f aca="false">IF('Fee Waterfall'!$C$9&lt;='Fee Waterfall'!$C$8,0,MIN(MAX(F8-F11-F12,0),F12*'Fee Waterfall'!$C$8/('Fee Waterfall'!$C$9-'Fee Waterfall'!$C$8)))</f>
        <v>0</v>
      </c>
    </row>
    <row r="14" customFormat="false" ht="15" hidden="false" customHeight="false" outlineLevel="0" collapsed="false">
      <c r="B14" s="1" t="s">
        <v>52</v>
      </c>
      <c r="C14" s="12" t="n">
        <f aca="false">C13*'Fee Waterfall'!$C$9</f>
        <v>0</v>
      </c>
      <c r="D14" s="12" t="n">
        <f aca="false">D13*'Fee Waterfall'!$C$9</f>
        <v>0</v>
      </c>
      <c r="E14" s="12" t="n">
        <f aca="false">E13*'Fee Waterfall'!$C$9</f>
        <v>0</v>
      </c>
      <c r="F14" s="12" t="n">
        <f aca="false">F13*'Fee Waterfall'!$C$9</f>
        <v>0</v>
      </c>
    </row>
    <row r="15" customFormat="false" ht="15" hidden="false" customHeight="false" outlineLevel="0" collapsed="false">
      <c r="B15" s="1" t="s">
        <v>53</v>
      </c>
      <c r="C15" s="12" t="n">
        <f aca="false">MAX(C8-C11-C12-C13,0)</f>
        <v>0</v>
      </c>
      <c r="D15" s="12" t="n">
        <f aca="false">MAX(D8-D11-D12-D13,0)</f>
        <v>0</v>
      </c>
      <c r="E15" s="12" t="n">
        <f aca="false">MAX(E8-E11-E12-E13,0)</f>
        <v>0</v>
      </c>
      <c r="F15" s="12" t="n">
        <f aca="false">MAX(F8-F11-F12-F13,0)</f>
        <v>0</v>
      </c>
    </row>
    <row r="16" customFormat="false" ht="15" hidden="false" customHeight="false" outlineLevel="0" collapsed="false">
      <c r="B16" s="1" t="s">
        <v>54</v>
      </c>
      <c r="C16" s="12" t="n">
        <f aca="false">C15*'Fee Waterfall'!$C$8</f>
        <v>0</v>
      </c>
      <c r="D16" s="12" t="n">
        <f aca="false">D15*'Fee Waterfall'!$C$8</f>
        <v>0</v>
      </c>
      <c r="E16" s="12" t="n">
        <f aca="false">E15*'Fee Waterfall'!$C$8</f>
        <v>0</v>
      </c>
      <c r="F16" s="12" t="n">
        <f aca="false">F15*'Fee Waterfall'!$C$8</f>
        <v>0</v>
      </c>
    </row>
    <row r="17" customFormat="false" ht="15" hidden="false" customHeight="false" outlineLevel="0" collapsed="false">
      <c r="B17" s="3" t="s">
        <v>55</v>
      </c>
      <c r="C17" s="8" t="n">
        <f aca="false">C14+C16</f>
        <v>0</v>
      </c>
      <c r="D17" s="8" t="n">
        <f aca="false">D14+D16</f>
        <v>0</v>
      </c>
      <c r="E17" s="8" t="n">
        <f aca="false">E14+E16</f>
        <v>0</v>
      </c>
      <c r="F17" s="8" t="n">
        <f aca="false">F14+F16</f>
        <v>0</v>
      </c>
    </row>
    <row r="19" customFormat="false" ht="15" hidden="false" customHeight="false" outlineLevel="0" collapsed="false">
      <c r="B19" s="3" t="s">
        <v>56</v>
      </c>
      <c r="C19" s="8" t="n">
        <f aca="false">C17</f>
        <v>0</v>
      </c>
      <c r="D19" s="8" t="n">
        <f aca="false">D17-C17</f>
        <v>0</v>
      </c>
      <c r="E19" s="8" t="n">
        <f aca="false">E17-D17</f>
        <v>0</v>
      </c>
      <c r="F19" s="8" t="n">
        <f aca="false">F17-E17</f>
        <v>0</v>
      </c>
    </row>
    <row r="20" customFormat="false" ht="15" hidden="false" customHeight="false" outlineLevel="0" collapsed="false">
      <c r="B20" s="1" t="s">
        <v>57</v>
      </c>
      <c r="C20" s="12" t="n">
        <f aca="false">SUM($C$19:C19)</f>
        <v>0</v>
      </c>
      <c r="D20" s="12" t="n">
        <f aca="false">SUM($C$19:D19)</f>
        <v>0</v>
      </c>
      <c r="E20" s="12" t="n">
        <f aca="false">SUM($C$19:E19)</f>
        <v>0</v>
      </c>
      <c r="F20" s="12" t="n">
        <f aca="false">SUM($C$19:F19)</f>
        <v>0</v>
      </c>
    </row>
    <row r="21" customFormat="false" ht="15" hidden="false" customHeight="false" outlineLevel="0" collapsed="false">
      <c r="B21" s="1" t="s">
        <v>58</v>
      </c>
      <c r="C21" s="15" t="str">
        <f aca="false">IF(C19&lt;0,"CLAWBACK — GP owes $"&amp;TEXT(-C19,"#,##0")&amp;" back to LPs","-")</f>
        <v>-</v>
      </c>
      <c r="D21" s="15" t="str">
        <f aca="false">IF(D19&lt;0,"CLAWBACK — GP owes $"&amp;TEXT(-D19,"#,##0")&amp;" back to LPs","-")</f>
        <v>-</v>
      </c>
      <c r="E21" s="15" t="str">
        <f aca="false">IF(E19&lt;0,"CLAWBACK — GP owes $"&amp;TEXT(-E19,"#,##0")&amp;" back to LPs","-")</f>
        <v>-</v>
      </c>
      <c r="F21" s="15" t="str">
        <f aca="false">IF(F19&lt;0,"CLAWBACK — GP owes $"&amp;TEXT(-F19,"#,##0")&amp;" back to LPs","-")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5" min="3" style="1" width="14"/>
    <col collapsed="false" customWidth="true" hidden="false" outlineLevel="0" max="6" min="6" style="1" width="40"/>
  </cols>
  <sheetData>
    <row r="2" customFormat="false" ht="19.7" hidden="false" customHeight="false" outlineLevel="0" collapsed="false">
      <c r="B2" s="2" t="s">
        <v>59</v>
      </c>
    </row>
    <row r="4" customFormat="false" ht="15" hidden="false" customHeight="false" outlineLevel="0" collapsed="false">
      <c r="A4" s="5"/>
      <c r="B4" s="5" t="s">
        <v>60</v>
      </c>
      <c r="C4" s="5" t="s">
        <v>61</v>
      </c>
      <c r="D4" s="5" t="s">
        <v>62</v>
      </c>
      <c r="E4" s="5" t="s">
        <v>63</v>
      </c>
      <c r="F4" s="16" t="s">
        <v>64</v>
      </c>
    </row>
    <row r="5" customFormat="false" ht="15" hidden="false" customHeight="false" outlineLevel="0" collapsed="false">
      <c r="B5" s="4" t="s">
        <v>65</v>
      </c>
      <c r="C5" s="6" t="n">
        <v>0</v>
      </c>
      <c r="D5" s="17" t="n">
        <v>0</v>
      </c>
      <c r="E5" s="17" t="n">
        <v>0</v>
      </c>
    </row>
    <row r="6" customFormat="false" ht="15" hidden="false" customHeight="false" outlineLevel="0" collapsed="false">
      <c r="B6" s="4" t="s">
        <v>65</v>
      </c>
      <c r="C6" s="6" t="n">
        <v>0</v>
      </c>
      <c r="D6" s="17" t="n">
        <v>0</v>
      </c>
      <c r="E6" s="17" t="n">
        <v>0</v>
      </c>
    </row>
    <row r="7" customFormat="false" ht="15" hidden="false" customHeight="false" outlineLevel="0" collapsed="false">
      <c r="B7" s="4" t="s">
        <v>65</v>
      </c>
      <c r="C7" s="6" t="n">
        <v>0</v>
      </c>
      <c r="D7" s="17" t="n">
        <v>0</v>
      </c>
      <c r="E7" s="17" t="n">
        <v>0</v>
      </c>
    </row>
    <row r="8" customFormat="false" ht="15" hidden="false" customHeight="false" outlineLevel="0" collapsed="false">
      <c r="B8" s="4" t="s">
        <v>65</v>
      </c>
      <c r="C8" s="6" t="n">
        <v>0</v>
      </c>
      <c r="D8" s="17" t="n">
        <v>0</v>
      </c>
      <c r="E8" s="17" t="n">
        <v>0</v>
      </c>
    </row>
    <row r="9" customFormat="false" ht="15" hidden="false" customHeight="false" outlineLevel="0" collapsed="false">
      <c r="B9" s="4" t="s">
        <v>65</v>
      </c>
      <c r="C9" s="6" t="n">
        <v>0</v>
      </c>
      <c r="D9" s="17" t="n">
        <v>0</v>
      </c>
      <c r="E9" s="17" t="n">
        <v>0</v>
      </c>
    </row>
    <row r="10" customFormat="false" ht="15" hidden="false" customHeight="false" outlineLevel="0" collapsed="false">
      <c r="B10" s="4" t="s">
        <v>65</v>
      </c>
      <c r="C10" s="6" t="n">
        <v>0</v>
      </c>
      <c r="D10" s="17" t="n">
        <v>0</v>
      </c>
      <c r="E10" s="17" t="n">
        <v>0</v>
      </c>
    </row>
    <row r="11" customFormat="false" ht="15" hidden="false" customHeight="false" outlineLevel="0" collapsed="false">
      <c r="B11" s="4" t="s">
        <v>65</v>
      </c>
      <c r="C11" s="6" t="n">
        <v>0</v>
      </c>
      <c r="D11" s="17" t="n">
        <v>0</v>
      </c>
      <c r="E11" s="17" t="n">
        <v>0</v>
      </c>
    </row>
    <row r="12" customFormat="false" ht="15" hidden="false" customHeight="false" outlineLevel="0" collapsed="false">
      <c r="B12" s="3" t="s">
        <v>66</v>
      </c>
      <c r="C12" s="18" t="n">
        <f aca="false">SUM(C5:C11)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6" min="3" style="1" width="14"/>
    <col collapsed="false" customWidth="true" hidden="false" outlineLevel="0" max="7" min="7" style="1" width="40"/>
  </cols>
  <sheetData>
    <row r="2" customFormat="false" ht="19.7" hidden="false" customHeight="false" outlineLevel="0" collapsed="false">
      <c r="B2" s="2" t="s">
        <v>67</v>
      </c>
    </row>
    <row r="4" customFormat="false" ht="15" hidden="false" customHeight="false" outlineLevel="0" collapsed="false">
      <c r="B4" s="13" t="s">
        <v>68</v>
      </c>
    </row>
    <row r="6" customFormat="false" ht="15" hidden="false" customHeight="false" outlineLevel="0" collapsed="false">
      <c r="C6" s="5" t="s">
        <v>10</v>
      </c>
      <c r="D6" s="5" t="s">
        <v>11</v>
      </c>
      <c r="E6" s="5" t="s">
        <v>12</v>
      </c>
      <c r="F6" s="5" t="s">
        <v>13</v>
      </c>
    </row>
    <row r="7" customFormat="false" ht="15" hidden="false" customHeight="false" outlineLevel="0" collapsed="false">
      <c r="B7" s="1" t="s">
        <v>69</v>
      </c>
      <c r="C7" s="12" t="n">
        <f aca="false">'Fund NAV'!C9-'Fund NAV'!C6</f>
        <v>0</v>
      </c>
      <c r="D7" s="12" t="n">
        <f aca="false">'Fund NAV'!D9-'Fund NAV'!D6</f>
        <v>0</v>
      </c>
      <c r="E7" s="12" t="n">
        <f aca="false">'Fund NAV'!E9-'Fund NAV'!E6</f>
        <v>0</v>
      </c>
      <c r="F7" s="12" t="n">
        <f aca="false">'Fund NAV'!F9-'Fund NAV'!F6</f>
        <v>0</v>
      </c>
    </row>
    <row r="8" customFormat="false" ht="15" hidden="false" customHeight="false" outlineLevel="0" collapsed="false">
      <c r="B8" s="1" t="s">
        <v>70</v>
      </c>
      <c r="C8" s="19" t="n">
        <f aca="false">'Fund NAV'!F10</f>
        <v>0</v>
      </c>
    </row>
    <row r="9" customFormat="false" ht="15" hidden="false" customHeight="false" outlineLevel="0" collapsed="false">
      <c r="B9" s="1" t="s">
        <v>71</v>
      </c>
      <c r="C9" s="12" t="n">
        <f aca="false">C7</f>
        <v>0</v>
      </c>
      <c r="D9" s="12" t="n">
        <f aca="false">D7</f>
        <v>0</v>
      </c>
      <c r="E9" s="12" t="n">
        <f aca="false">E7</f>
        <v>0</v>
      </c>
      <c r="F9" s="12" t="n">
        <f aca="false">F7+C8</f>
        <v>0</v>
      </c>
    </row>
    <row r="12" customFormat="false" ht="15" hidden="false" customHeight="false" outlineLevel="0" collapsed="false">
      <c r="B12" s="9" t="s">
        <v>72</v>
      </c>
    </row>
    <row r="13" customFormat="false" ht="15" hidden="false" customHeight="false" outlineLevel="0" collapsed="false">
      <c r="B13" s="1" t="s">
        <v>73</v>
      </c>
      <c r="C13" s="19" t="n">
        <f aca="false">SUM('Fund NAV'!C6:F6)</f>
        <v>0</v>
      </c>
    </row>
    <row r="14" customFormat="false" ht="15" hidden="false" customHeight="false" outlineLevel="0" collapsed="false">
      <c r="B14" s="1" t="s">
        <v>74</v>
      </c>
      <c r="C14" s="19" t="n">
        <f aca="false">SUM('Fund NAV'!C9:F9)</f>
        <v>0</v>
      </c>
    </row>
    <row r="15" customFormat="false" ht="15" hidden="false" customHeight="false" outlineLevel="0" collapsed="false">
      <c r="B15" s="1" t="s">
        <v>75</v>
      </c>
      <c r="C15" s="19" t="n">
        <f aca="false">'Fund NAV'!F10</f>
        <v>0</v>
      </c>
    </row>
    <row r="16" customFormat="false" ht="15" hidden="false" customHeight="false" outlineLevel="0" collapsed="false">
      <c r="B16" s="1" t="s">
        <v>76</v>
      </c>
      <c r="C16" s="20" t="str">
        <f aca="false">IFERROR(C14/C13,"-")</f>
        <v>-</v>
      </c>
    </row>
    <row r="17" customFormat="false" ht="15" hidden="false" customHeight="false" outlineLevel="0" collapsed="false">
      <c r="B17" s="1" t="s">
        <v>77</v>
      </c>
      <c r="C17" s="20" t="str">
        <f aca="false">IFERROR(C15/C13,"-")</f>
        <v>-</v>
      </c>
    </row>
    <row r="18" customFormat="false" ht="15" hidden="false" customHeight="false" outlineLevel="0" collapsed="false">
      <c r="B18" s="1" t="s">
        <v>78</v>
      </c>
      <c r="C18" s="20" t="str">
        <f aca="false">IFERROR(C16+C17,"-")</f>
        <v>-</v>
      </c>
      <c r="D18" s="13" t="s">
        <v>79</v>
      </c>
    </row>
    <row r="19" customFormat="false" ht="15" hidden="false" customHeight="false" outlineLevel="0" collapsed="false">
      <c r="B19" s="1" t="s">
        <v>80</v>
      </c>
      <c r="C19" s="21" t="str">
        <f aca="false">IFERROR(IRR(C9:F9),"-")</f>
        <v>-</v>
      </c>
      <c r="D19" s="13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30"/>
    <col collapsed="false" customWidth="true" hidden="false" outlineLevel="0" max="4" min="4" style="1" width="14"/>
    <col collapsed="false" customWidth="true" hidden="false" outlineLevel="0" max="5" min="5" style="1" width="46"/>
  </cols>
  <sheetData>
    <row r="2" customFormat="false" ht="19.7" hidden="false" customHeight="false" outlineLevel="0" collapsed="false">
      <c r="B2" s="2" t="s">
        <v>82</v>
      </c>
    </row>
    <row r="3" customFormat="false" ht="15" hidden="false" customHeight="false" outlineLevel="0" collapsed="false">
      <c r="B3" s="13" t="s">
        <v>83</v>
      </c>
    </row>
    <row r="5" customFormat="false" ht="15" hidden="false" customHeight="false" outlineLevel="0" collapsed="false">
      <c r="B5" s="5" t="s">
        <v>84</v>
      </c>
      <c r="C5" s="5" t="s">
        <v>85</v>
      </c>
      <c r="D5" s="5" t="s">
        <v>86</v>
      </c>
      <c r="E5" s="5" t="s">
        <v>87</v>
      </c>
    </row>
    <row r="6" customFormat="false" ht="15" hidden="false" customHeight="false" outlineLevel="0" collapsed="false">
      <c r="B6" s="22" t="s">
        <v>88</v>
      </c>
      <c r="C6" s="22" t="s">
        <v>89</v>
      </c>
      <c r="D6" s="22" t="s">
        <v>90</v>
      </c>
      <c r="E6" s="23" t="s">
        <v>91</v>
      </c>
    </row>
    <row r="7" customFormat="false" ht="15" hidden="false" customHeight="false" outlineLevel="0" collapsed="false">
      <c r="B7" s="22" t="s">
        <v>92</v>
      </c>
      <c r="C7" s="22" t="s">
        <v>93</v>
      </c>
      <c r="D7" s="22" t="s">
        <v>94</v>
      </c>
      <c r="E7" s="23" t="s">
        <v>95</v>
      </c>
    </row>
    <row r="8" customFormat="false" ht="15" hidden="false" customHeight="false" outlineLevel="0" collapsed="false">
      <c r="B8" s="22" t="s">
        <v>96</v>
      </c>
      <c r="C8" s="22" t="s">
        <v>97</v>
      </c>
      <c r="D8" s="22" t="s">
        <v>90</v>
      </c>
      <c r="E8" s="23" t="s">
        <v>98</v>
      </c>
    </row>
    <row r="9" customFormat="false" ht="15" hidden="false" customHeight="false" outlineLevel="0" collapsed="false">
      <c r="B9" s="22" t="s">
        <v>99</v>
      </c>
      <c r="C9" s="22" t="s">
        <v>100</v>
      </c>
      <c r="D9" s="22" t="s">
        <v>90</v>
      </c>
      <c r="E9" s="23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3" min="3" style="1" width="18"/>
    <col collapsed="false" customWidth="true" hidden="false" outlineLevel="0" max="4" min="4" style="1" width="46"/>
  </cols>
  <sheetData>
    <row r="2" customFormat="false" ht="19.7" hidden="false" customHeight="false" outlineLevel="0" collapsed="false">
      <c r="B2" s="2" t="s">
        <v>102</v>
      </c>
    </row>
    <row r="3" customFormat="false" ht="15" hidden="false" customHeight="false" outlineLevel="0" collapsed="false">
      <c r="B3" s="13" t="s">
        <v>103</v>
      </c>
    </row>
    <row r="5" customFormat="false" ht="15" hidden="false" customHeight="false" outlineLevel="0" collapsed="false">
      <c r="B5" s="5" t="s">
        <v>104</v>
      </c>
      <c r="C5" s="5" t="s">
        <v>105</v>
      </c>
      <c r="D5" s="5" t="s">
        <v>106</v>
      </c>
    </row>
    <row r="6" customFormat="false" ht="15" hidden="false" customHeight="false" outlineLevel="0" collapsed="false">
      <c r="B6" s="22" t="s">
        <v>107</v>
      </c>
      <c r="C6" s="24" t="n">
        <f aca="false">'Fee Waterfall'!C23+'Fee Waterfall'!C24-'Fee Waterfall'!C10</f>
        <v>0</v>
      </c>
      <c r="D6" s="23" t="s">
        <v>108</v>
      </c>
    </row>
    <row r="7" customFormat="false" ht="15" hidden="false" customHeight="false" outlineLevel="0" collapsed="false">
      <c r="B7" s="22" t="s">
        <v>109</v>
      </c>
      <c r="C7" s="24" t="n">
        <f aca="false">'GP Carry &amp; Clawback'!F20-'GP Carry &amp; Clawback'!F17</f>
        <v>0</v>
      </c>
      <c r="D7" s="23" t="s">
        <v>110</v>
      </c>
    </row>
    <row r="8" customFormat="false" ht="15" hidden="false" customHeight="false" outlineLevel="0" collapsed="false">
      <c r="B8" s="22" t="s">
        <v>111</v>
      </c>
      <c r="C8" s="24" t="b">
        <f aca="false">IF('Fee Waterfall'!C9&lt;='Fee Waterfall'!C8,'Fee Waterfall'!C16=0,TRUE())</f>
        <v>1</v>
      </c>
      <c r="D8" s="23" t="s">
        <v>112</v>
      </c>
    </row>
    <row r="9" customFormat="false" ht="15" hidden="false" customHeight="false" outlineLevel="0" collapsed="false">
      <c r="B9" s="22" t="s">
        <v>113</v>
      </c>
      <c r="C9" s="24" t="str">
        <f aca="false">IFERROR('Fund Performance'!C18-('Fund Performance'!C16+'Fund Performance'!C17),"-")</f>
        <v>-</v>
      </c>
      <c r="D9" s="23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30"/>
    <col collapsed="false" customWidth="true" hidden="false" outlineLevel="0" max="6" min="6" style="1" width="16"/>
  </cols>
  <sheetData>
    <row r="2" customFormat="false" ht="19.7" hidden="false" customHeight="false" outlineLevel="0" collapsed="false">
      <c r="B2" s="2" t="s">
        <v>115</v>
      </c>
    </row>
    <row r="4" customFormat="false" ht="15" hidden="false" customHeight="false" outlineLevel="0" collapsed="false">
      <c r="B4" s="5" t="s">
        <v>116</v>
      </c>
      <c r="C4" s="5" t="s">
        <v>117</v>
      </c>
      <c r="D4" s="5" t="s">
        <v>118</v>
      </c>
      <c r="E4" s="5" t="s">
        <v>119</v>
      </c>
      <c r="F4" s="5" t="s">
        <v>120</v>
      </c>
    </row>
    <row r="5" customFormat="false" ht="15" hidden="false" customHeight="false" outlineLevel="0" collapsed="false">
      <c r="B5" s="15"/>
      <c r="C5" s="15"/>
      <c r="D5" s="15"/>
      <c r="E5" s="15"/>
      <c r="F5" s="15"/>
    </row>
    <row r="6" customFormat="false" ht="15" hidden="false" customHeight="false" outlineLevel="0" collapsed="false">
      <c r="B6" s="15"/>
      <c r="C6" s="15"/>
      <c r="D6" s="15"/>
      <c r="E6" s="15"/>
      <c r="F6" s="15"/>
    </row>
    <row r="7" customFormat="false" ht="15" hidden="false" customHeight="false" outlineLevel="0" collapsed="false">
      <c r="B7" s="15"/>
      <c r="C7" s="15"/>
      <c r="D7" s="15"/>
      <c r="E7" s="15"/>
      <c r="F7" s="15"/>
    </row>
    <row r="8" customFormat="false" ht="15" hidden="false" customHeight="false" outlineLevel="0" collapsed="false">
      <c r="B8" s="15"/>
      <c r="C8" s="15"/>
      <c r="D8" s="15"/>
      <c r="E8" s="15"/>
      <c r="F8" s="15"/>
    </row>
    <row r="9" customFormat="false" ht="15" hidden="false" customHeight="false" outlineLevel="0" collapsed="false">
      <c r="B9" s="15"/>
      <c r="C9" s="15"/>
      <c r="D9" s="15"/>
      <c r="E9" s="15"/>
      <c r="F9" s="15"/>
    </row>
    <row r="10" customFormat="false" ht="15" hidden="false" customHeight="false" outlineLevel="0" collapsed="false">
      <c r="B10" s="15"/>
      <c r="C10" s="15"/>
      <c r="D10" s="15"/>
      <c r="E10" s="15"/>
      <c r="F10" s="15"/>
    </row>
    <row r="11" customFormat="false" ht="15" hidden="false" customHeight="false" outlineLevel="0" collapsed="false">
      <c r="B11" s="15"/>
      <c r="C11" s="15"/>
      <c r="D11" s="15"/>
      <c r="E11" s="15"/>
      <c r="F11" s="15"/>
    </row>
    <row r="12" customFormat="false" ht="15" hidden="false" customHeight="false" outlineLevel="0" collapsed="false">
      <c r="B12" s="15"/>
      <c r="C12" s="15"/>
      <c r="D12" s="15"/>
      <c r="E12" s="15"/>
      <c r="F12" s="15"/>
    </row>
    <row r="13" customFormat="false" ht="15" hidden="false" customHeight="false" outlineLevel="0" collapsed="false">
      <c r="B13" s="15"/>
      <c r="C13" s="15"/>
      <c r="D13" s="15"/>
      <c r="E13" s="15"/>
      <c r="F13" s="15"/>
    </row>
    <row r="14" customFormat="false" ht="15" hidden="false" customHeight="false" outlineLevel="0" collapsed="false">
      <c r="B14" s="15"/>
      <c r="C14" s="15"/>
      <c r="D14" s="15"/>
      <c r="E14" s="15"/>
      <c r="F14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2026-08-04T13:51:09Z</dcterms:created>
  <dc:creator>openpyxl</dc:creator>
  <dc:description/>
  <dc:language>en-US</dc:language>
  <cp:lastModifiedBy/>
  <dcterms:modified xsi:type="dcterms:W3CDTF">2026-08-04T13:51:09Z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