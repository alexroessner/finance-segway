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ap Table" sheetId="2" state="visible" r:id="rId4"/>
    <sheet name="Round Modeling" sheetId="3" state="visible" r:id="rId5"/>
    <sheet name="SAFE Conversion" sheetId="4" state="visible" r:id="rId6"/>
    <sheet name="Exit Waterfall" sheetId="5" state="visible" r:id="rId7"/>
    <sheet name="Participating Preferred" sheetId="6" state="visible" r:id="rId8"/>
    <sheet name="Comparable Financings" sheetId="7" state="visible" r:id="rId9"/>
    <sheet name="Sources" sheetId="8" state="visible" r:id="rId10"/>
    <sheet name="Checks" sheetId="9" state="visible" r:id="rId11"/>
    <sheet name="RefreshLog"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<sst xmlns="http://schemas.openxmlformats.org/spreadsheetml/2006/main" count="168" uniqueCount="120">
  <si>
    <t xml:space="preserve">[COMPANY] — Venture Capital Model</t>
  </si>
  <si>
    <t xml:space="preserve">Sector:</t>
  </si>
  <si>
    <t xml:space="preserve">[fill in]</t>
  </si>
  <si>
    <t xml:space="preserve">Current stage:</t>
  </si>
  <si>
    <t xml:space="preserve">Seed / A / B / C / Growth</t>
  </si>
  <si>
    <t xml:space="preserve">Last refreshed:</t>
  </si>
  <si>
    <t xml:space="preserve">[date]</t>
  </si>
  <si>
    <t xml:space="preserve">Next round expected:</t>
  </si>
  <si>
    <t xml:space="preserve">Refresh cadence:</t>
  </si>
  <si>
    <t xml:space="preserve">Weekly</t>
  </si>
  <si>
    <t xml:space="preserve">Capitalization Table</t>
  </si>
  <si>
    <t xml:space="preserve">Holder / Class</t>
  </si>
  <si>
    <t xml:space="preserve">Shares</t>
  </si>
  <si>
    <t xml:space="preserve">% Fully Diluted</t>
  </si>
  <si>
    <t xml:space="preserve">Price paid/sh</t>
  </si>
  <si>
    <t xml:space="preserve">Invested $</t>
  </si>
  <si>
    <t xml:space="preserve">Class</t>
  </si>
  <si>
    <t xml:space="preserve">Founders (common)</t>
  </si>
  <si>
    <t xml:space="preserve">Common/Pref</t>
  </si>
  <si>
    <t xml:space="preserve">Employee option pool</t>
  </si>
  <si>
    <t xml:space="preserve">SAFE holders (pre-conversion)</t>
  </si>
  <si>
    <t xml:space="preserve">Seed preferred</t>
  </si>
  <si>
    <t xml:space="preserve">Series A preferred</t>
  </si>
  <si>
    <t xml:space="preserve">Series B preferred</t>
  </si>
  <si>
    <t xml:space="preserve">Total</t>
  </si>
  <si>
    <t xml:space="preserve">New Round Modeling</t>
  </si>
  <si>
    <t xml:space="preserve">Inputs</t>
  </si>
  <si>
    <t xml:space="preserve">Outputs</t>
  </si>
  <si>
    <t xml:space="preserve">Pre-money valuation</t>
  </si>
  <si>
    <t xml:space="preserve">Post-money valuation</t>
  </si>
  <si>
    <t xml:space="preserve">New money raised</t>
  </si>
  <si>
    <t xml:space="preserve">Price per share</t>
  </si>
  <si>
    <t xml:space="preserve">New option pool top-up %</t>
  </si>
  <si>
    <t xml:space="preserve">New shares issued (investor)</t>
  </si>
  <si>
    <t xml:space="preserve">Existing fully diluted shares</t>
  </si>
  <si>
    <t xml:space="preserve">New pool shares (top-up)</t>
  </si>
  <si>
    <t xml:space="preserve">Total post-round shares</t>
  </si>
  <si>
    <t xml:space="preserve">New investor ownership %</t>
  </si>
  <si>
    <t xml:space="preserve">Existing holder dilution %</t>
  </si>
  <si>
    <t xml:space="preserve">SAFE / Convertible Note Conversion</t>
  </si>
  <si>
    <t xml:space="preserve">SAFE Terms</t>
  </si>
  <si>
    <t xml:space="preserve">At Priced Round</t>
  </si>
  <si>
    <t xml:space="preserve">SAFE investment amount</t>
  </si>
  <si>
    <t xml:space="preserve">Priced round price/share</t>
  </si>
  <si>
    <t xml:space="preserve">Valuation cap</t>
  </si>
  <si>
    <t xml:space="preserve">Cap price/share (cap / pre-round FD shares)</t>
  </si>
  <si>
    <t xml:space="preserve">Discount %</t>
  </si>
  <si>
    <t xml:space="preserve">Discount price/share</t>
  </si>
  <si>
    <t xml:space="preserve">SAFE conversion price (lower of cap/discount/round)</t>
  </si>
  <si>
    <t xml:space="preserve">SAFE shares issued</t>
  </si>
  <si>
    <t xml:space="preserve">Exit Proceeds Waterfall (1x non-participating pref)</t>
  </si>
  <si>
    <t xml:space="preserve">Liq. pref (1x)</t>
  </si>
  <si>
    <t xml:space="preserve">As-converted %</t>
  </si>
  <si>
    <t xml:space="preserve">Pref-stack scenario</t>
  </si>
  <si>
    <t xml:space="preserve">As-converted scenario</t>
  </si>
  <si>
    <t xml:space="preserve">Actual proceeds</t>
  </si>
  <si>
    <t xml:space="preserve">Common (founders + pool)</t>
  </si>
  <si>
    <t xml:space="preserve">Regime: as-converted pays more fund-wide than the full pref stack?</t>
  </si>
  <si>
    <t xml:space="preserve">Total distributed (check — should equal total exit proceeds)</t>
  </si>
  <si>
    <t xml:space="preserve">Simplification: switches the WHOLE cap table between the pref-stack and as-converted scenario based on one global test (total proceeds vs. sum of all preferences), rather than letting each class elect independently. Real waterfalls often have junior classes convert while senior ones keep their pref, in the middle range between these two extremes — that requires testing conversion elections class by class (a small solver, not a single formula). This always ties to total proceeds and is exactly right at both extremes; treat the boundary/middle range as a case for a proper waterfall tool or counsel, not this template.</t>
  </si>
  <si>
    <t xml:space="preserve">Total exit proceeds</t>
  </si>
  <si>
    <t xml:space="preserve">Capped Participating Preferred: the Payout "Kink"</t>
  </si>
  <si>
    <t xml:space="preserve">A structurally different preference from the 1x non-participating pref on the Exit Waterfall tab: participating preferred takes its liquidation pref off the top AND THEN ALSO shares pro-rata in what's left, alongside common -- "double dipping." A cap limits total return to a multiple of invested capital; once uncapped participation would exceed the cap, a rational holder converts to common instead and gives up the pref entirely. That crossover is the kink.</t>
  </si>
  <si>
    <t xml:space="preserve">Invested amount ($)</t>
  </si>
  <si>
    <t xml:space="preserve">Liquidation preference multiple (x)</t>
  </si>
  <si>
    <t xml:space="preserve">Participation cap (total return multiple, x)</t>
  </si>
  <si>
    <t xml:space="preserve">As-converted ownership % (this class's fully-diluted share)</t>
  </si>
  <si>
    <t xml:space="preserve">Exit enterprise value</t>
  </si>
  <si>
    <t xml:space="preserve">Liquidation preference ($)</t>
  </si>
  <si>
    <t xml:space="preserve">Uncapped participating payout (pref + pro-rata of the rest)</t>
  </si>
  <si>
    <t xml:space="preserve">Capped payout (MIN of uncapped, cap x invested)</t>
  </si>
  <si>
    <t xml:space="preserve">As-converted payout (forgo pref, straight pro-rata of total)</t>
  </si>
  <si>
    <t xml:space="preserve">Actual payout (rational holder takes the higher)</t>
  </si>
  <si>
    <t xml:space="preserve">Election</t>
  </si>
  <si>
    <t xml:space="preserve">Effective multiple at the cap crossover</t>
  </si>
  <si>
    <t xml:space="preserve">Above the exit value where as-converted alone would already return more than the cap, participating preferred is strictly worse than plain common -- the cap exists to bound the PREFERRED holder's return, not to help them</t>
  </si>
  <si>
    <t xml:space="preserve">Comparable Financings</t>
  </si>
  <si>
    <t xml:space="preserve">Company</t>
  </si>
  <si>
    <t xml:space="preserve">Round</t>
  </si>
  <si>
    <t xml:space="preserve">Date</t>
  </si>
  <si>
    <t xml:space="preserve">Pre-money</t>
  </si>
  <si>
    <t xml:space="preserve">Amount raised</t>
  </si>
  <si>
    <t xml:space="preserve">Lead investor</t>
  </si>
  <si>
    <t xml:space="preserve">Sources</t>
  </si>
  <si>
    <t xml:space="preserve">What each material assumption or convention in this model comes from.</t>
  </si>
  <si>
    <t xml:space="preserve">Assumption / convention</t>
  </si>
  <si>
    <t xml:space="preserve">Source</t>
  </si>
  <si>
    <t xml:space="preserve">As of</t>
  </si>
  <si>
    <t xml:space="preserve">Note</t>
  </si>
  <si>
    <t xml:space="preserve">Capped participating preferred: pref + pro-rata, capped, MAX vs. as-converted</t>
  </si>
  <si>
    <t xml:space="preserve">Standard VC/PE preferred-stock term-sheet mechanics</t>
  </si>
  <si>
    <t xml:space="preserve">Standard practice</t>
  </si>
  <si>
    <t xml:space="preserve">Single-class simplification -- models one participating class against 'everyone else' as a pool, not a full multi-class cascade</t>
  </si>
  <si>
    <t xml:space="preserve">1x non-participating pref-stack vs. as-converted exit waterfall</t>
  </si>
  <si>
    <t xml:space="preserve">Standard VC exit-waterfall mechanics</t>
  </si>
  <si>
    <t xml:space="preserve">Whole-cap-table regime switch (see the tab's own note) -- an approximation of the true class-by-class conversion election</t>
  </si>
  <si>
    <t xml:space="preserve">SAFE conversion: lower of cap price, discount price, round price</t>
  </si>
  <si>
    <t xml:space="preserve">Standard Y Combinator SAFE / convertible-note conversion mechanics</t>
  </si>
  <si>
    <t xml:space="preserve">Assumes a single SAFE with both cap and discount -- some SAFEs have only one or the other</t>
  </si>
  <si>
    <t xml:space="preserve">Pre/post-money round math with option-pool top-up</t>
  </si>
  <si>
    <t xml:space="preserve">Standard VC financing-round mechanics</t>
  </si>
  <si>
    <t xml:space="preserve">Assumes the option pool top-up is sized post-money and dilutes pre-round holders only, the most common (but not universal) convention</t>
  </si>
  <si>
    <t xml:space="preserve">Checks</t>
  </si>
  <si>
    <t xml:space="preserve">Live reconciliation identities -- independent of the model's own formulas, must tie.</t>
  </si>
  <si>
    <t xml:space="preserve">Check</t>
  </si>
  <si>
    <t xml:space="preserve">Result</t>
  </si>
  <si>
    <t xml:space="preserve">Passes when</t>
  </si>
  <si>
    <t xml:space="preserve">Capped payout never exceeds the cap (invested x cap multiple)</t>
  </si>
  <si>
    <t xml:space="preserve">TRUE -- the cap is an upper bound by construction</t>
  </si>
  <si>
    <t xml:space="preserve">At the largest exit value, the rational holder converts to common (cap made pref strictly worse)</t>
  </si>
  <si>
    <t xml:space="preserve">TRUE at the default $500mm exit -- confirms the cap actually binds somewhere in the sweep, not just in theory</t>
  </si>
  <si>
    <t xml:space="preserve">At the smallest exit value, the rational holder takes pref+participation (pref is still worth more)</t>
  </si>
  <si>
    <t xml:space="preserve">TRUE at the default $20mm exit</t>
  </si>
  <si>
    <t xml:space="preserve">VC exit waterfall total distributed ties to total exit proceeds</t>
  </si>
  <si>
    <t xml:space="preserve">0 (exact) once exit proceeds are populated</t>
  </si>
  <si>
    <t xml:space="preserve">Refresh Log</t>
  </si>
  <si>
    <t xml:space="preserve">Trigger</t>
  </si>
  <si>
    <t xml:space="preserve">What changed</t>
  </si>
  <si>
    <t xml:space="preserve">Reviewer notes</t>
  </si>
  <si>
    <t xml:space="preserve">Next check</t>
  </si>
</sst>
</file>

<file path=xl/styles.xml><?xml version="1.0" encoding="utf-8"?>
<styleSheet xmlns="http://schemas.openxmlformats.org/spreadsheetml/2006/main">
  <numFmts count="7">
    <numFmt numFmtId="164" formatCode="General"/>
    <numFmt numFmtId="165" formatCode="#,##0;\(#,##0\);\-"/>
    <numFmt numFmtId="166" formatCode="0.0%;\(0.0%\);\-"/>
    <numFmt numFmtId="167" formatCode="\$#,##0.00;&quot;($&quot;#,##0.00\);\-"/>
    <numFmt numFmtId="168" formatCode="\$#,##0;&quot;($&quot;#,##0\);\-"/>
    <numFmt numFmtId="169" formatCode="0.0\x"/>
    <numFmt numFmtId="170" formatCode="General"/>
  </numFmts>
  <fonts count="11">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sz val="10"/>
      <color rgb="FF000000"/>
      <name val="Arial"/>
      <family val="0"/>
      <charset val="1"/>
    </font>
    <font>
      <sz val="10"/>
      <color rgb="FF008000"/>
      <name val="Arial"/>
      <family val="0"/>
      <charset val="1"/>
    </font>
    <font>
      <i val="true"/>
      <sz val="8"/>
      <color rgb="FF80808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6" fillId="0" borderId="1" xfId="0" applyFont="true" applyBorder="true" applyAlignment="true" applyProtection="true">
      <alignment horizontal="general" vertical="bottom" textRotation="0" wrapText="false" indent="0" shrinkToFit="false"/>
      <protection locked="true" hidden="false"/>
    </xf>
    <xf numFmtId="168" fontId="0" fillId="0" borderId="1" xfId="0" applyFont="fals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8" fontId="6"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6" fontId="6" fillId="4" borderId="1" xfId="0" applyFont="tru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5" fontId="6" fillId="4" borderId="1" xfId="0" applyFont="true" applyBorder="true" applyAlignment="true" applyProtection="true">
      <alignment horizontal="general" vertical="bottom" textRotation="0" wrapText="false" indent="0" shrinkToFit="false"/>
      <protection locked="true" hidden="false"/>
    </xf>
    <xf numFmtId="165" fontId="5" fillId="0" borderId="1" xfId="0" applyFont="true" applyBorder="true" applyAlignment="true" applyProtection="true">
      <alignment horizontal="general" vertical="bottom" textRotation="0" wrapText="false" indent="0" shrinkToFit="false"/>
      <protection locked="true" hidden="false"/>
    </xf>
    <xf numFmtId="166" fontId="0" fillId="0" borderId="1" xfId="0" applyFont="false" applyBorder="true" applyAlignment="true" applyProtection="true">
      <alignment horizontal="general" vertical="bottom" textRotation="0" wrapText="false" indent="0" shrinkToFit="false"/>
      <protection locked="true" hidden="false"/>
    </xf>
    <xf numFmtId="167" fontId="9" fillId="0" borderId="1" xfId="0" applyFont="true" applyBorder="true" applyAlignment="true" applyProtection="true">
      <alignment horizontal="general" vertical="bottom" textRotation="0" wrapText="false" indent="0" shrinkToFit="false"/>
      <protection locked="true" hidden="false"/>
    </xf>
    <xf numFmtId="167" fontId="5" fillId="0" borderId="1" xfId="0" applyFont="true" applyBorder="true" applyAlignment="true" applyProtection="true">
      <alignment horizontal="general" vertical="bottom" textRotation="0" wrapText="false" indent="0" shrinkToFit="false"/>
      <protection locked="true" hidden="false"/>
    </xf>
    <xf numFmtId="168" fontId="9" fillId="0" borderId="1" xfId="0" applyFont="true" applyBorder="true" applyAlignment="true" applyProtection="true">
      <alignment horizontal="general" vertical="bottom" textRotation="0" wrapText="false" indent="0" shrinkToFit="false"/>
      <protection locked="true" hidden="false"/>
    </xf>
    <xf numFmtId="166" fontId="9" fillId="0" borderId="1" xfId="0" applyFont="true" applyBorder="true" applyAlignment="true" applyProtection="true">
      <alignment horizontal="general" vertical="bottom" textRotation="0" wrapText="false" indent="0" shrinkToFit="false"/>
      <protection locked="true" hidden="false"/>
    </xf>
    <xf numFmtId="168" fontId="5"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8" fontId="6" fillId="4" borderId="0" xfId="0" applyFont="true" applyBorder="false" applyAlignment="true" applyProtection="true">
      <alignment horizontal="general" vertical="bottom" textRotation="0" wrapText="false" indent="0" shrinkToFit="false"/>
      <protection locked="true" hidden="false"/>
    </xf>
    <xf numFmtId="169" fontId="6" fillId="4" borderId="1" xfId="0" applyFont="true" applyBorder="true" applyAlignment="true" applyProtection="true">
      <alignment horizontal="general" vertical="bottom" textRotation="0" wrapText="false" indent="0" shrinkToFit="false"/>
      <protection locked="true" hidden="false"/>
    </xf>
    <xf numFmtId="168" fontId="5" fillId="3" borderId="0" xfId="0" applyFont="true" applyBorder="fals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8" fontId="6"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70" fontId="5"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40"/>
    <col collapsed="false" customWidth="true" hidden="false" outlineLevel="0" max="4" min="4" style="1" width="4"/>
  </cols>
  <sheetData>
    <row r="2" customFormat="false" ht="19.7" hidden="false" customHeight="false" outlineLevel="0" collapsed="false">
      <c r="B2" s="2" t="s">
        <v>0</v>
      </c>
    </row>
    <row r="4" customFormat="false" ht="15" hidden="false" customHeight="false" outlineLevel="0" collapsed="false">
      <c r="B4" s="3" t="s">
        <v>1</v>
      </c>
      <c r="C4" s="4" t="s">
        <v>2</v>
      </c>
    </row>
    <row r="5" customFormat="false" ht="15" hidden="false" customHeight="false" outlineLevel="0" collapsed="false">
      <c r="B5" s="3" t="s">
        <v>3</v>
      </c>
      <c r="C5" s="4" t="s">
        <v>4</v>
      </c>
    </row>
    <row r="6" customFormat="false" ht="15" hidden="false" customHeight="false" outlineLevel="0" collapsed="false">
      <c r="B6" s="3" t="s">
        <v>5</v>
      </c>
      <c r="C6" s="4" t="s">
        <v>6</v>
      </c>
    </row>
    <row r="7" customFormat="false" ht="15" hidden="false" customHeight="false" outlineLevel="0" collapsed="false">
      <c r="B7" s="3" t="s">
        <v>7</v>
      </c>
      <c r="C7" s="4" t="s">
        <v>6</v>
      </c>
    </row>
    <row r="8" customFormat="false" ht="15" hidden="false" customHeight="false" outlineLevel="0" collapsed="false">
      <c r="B8" s="3" t="s">
        <v>8</v>
      </c>
      <c r="C8" s="4"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0"/>
    <col collapsed="false" customWidth="true" hidden="false" outlineLevel="0" max="7" min="3" style="1" width="14"/>
  </cols>
  <sheetData>
    <row r="2" customFormat="false" ht="19.7" hidden="false" customHeight="false" outlineLevel="0" collapsed="false">
      <c r="B2" s="2" t="s">
        <v>10</v>
      </c>
    </row>
    <row r="4" customFormat="false" ht="15" hidden="false" customHeight="false" outlineLevel="0" collapsed="false">
      <c r="A4" s="5"/>
      <c r="B4" s="5" t="s">
        <v>11</v>
      </c>
      <c r="C4" s="5" t="s">
        <v>12</v>
      </c>
      <c r="D4" s="5" t="s">
        <v>13</v>
      </c>
      <c r="E4" s="5" t="s">
        <v>14</v>
      </c>
      <c r="F4" s="5" t="s">
        <v>15</v>
      </c>
      <c r="G4" s="5" t="s">
        <v>16</v>
      </c>
    </row>
    <row r="5" customFormat="false" ht="15" hidden="false" customHeight="false" outlineLevel="0" collapsed="false">
      <c r="B5" s="6" t="s">
        <v>17</v>
      </c>
      <c r="C5" s="7" t="n">
        <v>0</v>
      </c>
      <c r="D5" s="8" t="str">
        <f aca="false">IFERROR(C5/$C$11,"-")</f>
        <v>-</v>
      </c>
      <c r="E5" s="9" t="n">
        <v>0</v>
      </c>
      <c r="F5" s="10" t="n">
        <f aca="false">C5*E5</f>
        <v>0</v>
      </c>
      <c r="G5" s="4" t="s">
        <v>18</v>
      </c>
    </row>
    <row r="6" customFormat="false" ht="15" hidden="false" customHeight="false" outlineLevel="0" collapsed="false">
      <c r="B6" s="6" t="s">
        <v>19</v>
      </c>
      <c r="C6" s="7" t="n">
        <v>0</v>
      </c>
      <c r="D6" s="8" t="str">
        <f aca="false">IFERROR(C6/$C$11,"-")</f>
        <v>-</v>
      </c>
      <c r="E6" s="9" t="n">
        <v>0</v>
      </c>
      <c r="F6" s="10" t="n">
        <f aca="false">C6*E6</f>
        <v>0</v>
      </c>
      <c r="G6" s="4" t="s">
        <v>18</v>
      </c>
    </row>
    <row r="7" customFormat="false" ht="15" hidden="false" customHeight="false" outlineLevel="0" collapsed="false">
      <c r="B7" s="6" t="s">
        <v>20</v>
      </c>
      <c r="C7" s="7" t="n">
        <v>0</v>
      </c>
      <c r="D7" s="8" t="str">
        <f aca="false">IFERROR(C7/$C$11,"-")</f>
        <v>-</v>
      </c>
      <c r="E7" s="9" t="n">
        <v>0</v>
      </c>
      <c r="F7" s="10" t="n">
        <f aca="false">C7*E7</f>
        <v>0</v>
      </c>
      <c r="G7" s="4" t="s">
        <v>18</v>
      </c>
    </row>
    <row r="8" customFormat="false" ht="15" hidden="false" customHeight="false" outlineLevel="0" collapsed="false">
      <c r="B8" s="6" t="s">
        <v>21</v>
      </c>
      <c r="C8" s="7" t="n">
        <v>0</v>
      </c>
      <c r="D8" s="8" t="str">
        <f aca="false">IFERROR(C8/$C$11,"-")</f>
        <v>-</v>
      </c>
      <c r="E8" s="9" t="n">
        <v>0</v>
      </c>
      <c r="F8" s="10" t="n">
        <f aca="false">C8*E8</f>
        <v>0</v>
      </c>
      <c r="G8" s="4" t="s">
        <v>18</v>
      </c>
    </row>
    <row r="9" customFormat="false" ht="15" hidden="false" customHeight="false" outlineLevel="0" collapsed="false">
      <c r="B9" s="6" t="s">
        <v>22</v>
      </c>
      <c r="C9" s="7" t="n">
        <v>0</v>
      </c>
      <c r="D9" s="8" t="str">
        <f aca="false">IFERROR(C9/$C$11,"-")</f>
        <v>-</v>
      </c>
      <c r="E9" s="9" t="n">
        <v>0</v>
      </c>
      <c r="F9" s="10" t="n">
        <f aca="false">C9*E9</f>
        <v>0</v>
      </c>
      <c r="G9" s="4" t="s">
        <v>18</v>
      </c>
    </row>
    <row r="10" customFormat="false" ht="15" hidden="false" customHeight="false" outlineLevel="0" collapsed="false">
      <c r="B10" s="6" t="s">
        <v>23</v>
      </c>
      <c r="C10" s="7" t="n">
        <v>0</v>
      </c>
      <c r="D10" s="8" t="str">
        <f aca="false">IFERROR(C10/$C$11,"-")</f>
        <v>-</v>
      </c>
      <c r="E10" s="9" t="n">
        <v>0</v>
      </c>
      <c r="F10" s="10" t="n">
        <f aca="false">C10*E10</f>
        <v>0</v>
      </c>
      <c r="G10" s="4" t="s">
        <v>18</v>
      </c>
    </row>
    <row r="11" customFormat="false" ht="15" hidden="false" customHeight="false" outlineLevel="0" collapsed="false">
      <c r="B11" s="3" t="s">
        <v>24</v>
      </c>
      <c r="C11" s="11" t="n">
        <f aca="false">SUM(C5:C10)</f>
        <v>0</v>
      </c>
      <c r="F11" s="12" t="n">
        <f aca="false">SUM(F5:F10)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16"/>
    <col collapsed="false" customWidth="true" hidden="false" outlineLevel="0" max="4" min="4" style="1" width="4"/>
    <col collapsed="false" customWidth="true" hidden="false" outlineLevel="0" max="5" min="5" style="1" width="26"/>
    <col collapsed="false" customWidth="true" hidden="false" outlineLevel="0" max="6" min="6" style="1" width="16"/>
  </cols>
  <sheetData>
    <row r="2" customFormat="false" ht="19.7" hidden="false" customHeight="false" outlineLevel="0" collapsed="false">
      <c r="B2" s="2" t="s">
        <v>25</v>
      </c>
    </row>
    <row r="4" customFormat="false" ht="15" hidden="false" customHeight="false" outlineLevel="0" collapsed="false">
      <c r="B4" s="13" t="s">
        <v>26</v>
      </c>
      <c r="E4" s="13" t="s">
        <v>27</v>
      </c>
    </row>
    <row r="5" customFormat="false" ht="15" hidden="false" customHeight="false" outlineLevel="0" collapsed="false">
      <c r="B5" s="6" t="s">
        <v>28</v>
      </c>
      <c r="C5" s="14" t="n">
        <v>0</v>
      </c>
      <c r="E5" s="15" t="s">
        <v>29</v>
      </c>
      <c r="F5" s="10" t="n">
        <f aca="false">C5+C6</f>
        <v>0</v>
      </c>
    </row>
    <row r="6" customFormat="false" ht="15" hidden="false" customHeight="false" outlineLevel="0" collapsed="false">
      <c r="B6" s="6" t="s">
        <v>30</v>
      </c>
      <c r="C6" s="14" t="n">
        <v>0</v>
      </c>
      <c r="E6" s="15" t="s">
        <v>31</v>
      </c>
      <c r="F6" s="16" t="str">
        <f aca="false">IFERROR(C5/C8,"-")</f>
        <v>-</v>
      </c>
    </row>
    <row r="7" customFormat="false" ht="15" hidden="false" customHeight="false" outlineLevel="0" collapsed="false">
      <c r="B7" s="6" t="s">
        <v>32</v>
      </c>
      <c r="C7" s="17" t="n">
        <v>0</v>
      </c>
      <c r="E7" s="15" t="s">
        <v>33</v>
      </c>
      <c r="F7" s="18" t="str">
        <f aca="false">IFERROR(C6/F6,"-")</f>
        <v>-</v>
      </c>
    </row>
    <row r="8" customFormat="false" ht="15" hidden="false" customHeight="false" outlineLevel="0" collapsed="false">
      <c r="B8" s="6" t="s">
        <v>34</v>
      </c>
      <c r="C8" s="19" t="n">
        <v>0</v>
      </c>
      <c r="E8" s="15" t="s">
        <v>35</v>
      </c>
      <c r="F8" s="18" t="str">
        <f aca="false">IFERROR(C7*(C8+F7),"-")</f>
        <v>-</v>
      </c>
    </row>
    <row r="9" customFormat="false" ht="15" hidden="false" customHeight="false" outlineLevel="0" collapsed="false">
      <c r="E9" s="1" t="s">
        <v>36</v>
      </c>
      <c r="F9" s="20" t="str">
        <f aca="false">IFERROR(C8+F7+F8,"-")</f>
        <v>-</v>
      </c>
    </row>
    <row r="10" customFormat="false" ht="15" hidden="false" customHeight="false" outlineLevel="0" collapsed="false">
      <c r="E10" s="1" t="s">
        <v>37</v>
      </c>
      <c r="F10" s="21" t="str">
        <f aca="false">IFERROR(F7/F9,"-")</f>
        <v>-</v>
      </c>
    </row>
    <row r="11" customFormat="false" ht="15" hidden="false" customHeight="false" outlineLevel="0" collapsed="false">
      <c r="E11" s="1" t="s">
        <v>38</v>
      </c>
      <c r="F11" s="21" t="str">
        <f aca="false">IFERROR(1-C8/F9,"-")</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8"/>
    <col collapsed="false" customWidth="true" hidden="false" outlineLevel="0" max="3" min="3" style="1" width="14"/>
    <col collapsed="false" customWidth="true" hidden="false" outlineLevel="0" max="4" min="4" style="1" width="4"/>
    <col collapsed="false" customWidth="true" hidden="false" outlineLevel="0" max="5" min="5" style="1" width="28"/>
    <col collapsed="false" customWidth="true" hidden="false" outlineLevel="0" max="6" min="6" style="1" width="16"/>
  </cols>
  <sheetData>
    <row r="2" customFormat="false" ht="19.7" hidden="false" customHeight="false" outlineLevel="0" collapsed="false">
      <c r="B2" s="2" t="s">
        <v>39</v>
      </c>
    </row>
    <row r="4" customFormat="false" ht="15" hidden="false" customHeight="false" outlineLevel="0" collapsed="false">
      <c r="B4" s="13" t="s">
        <v>40</v>
      </c>
      <c r="E4" s="13" t="s">
        <v>41</v>
      </c>
    </row>
    <row r="5" customFormat="false" ht="15" hidden="false" customHeight="false" outlineLevel="0" collapsed="false">
      <c r="B5" s="6" t="s">
        <v>42</v>
      </c>
      <c r="C5" s="14" t="n">
        <v>0</v>
      </c>
      <c r="E5" s="15" t="s">
        <v>43</v>
      </c>
      <c r="F5" s="22" t="str">
        <f aca="false">'Round Modeling'!F6</f>
        <v>-</v>
      </c>
    </row>
    <row r="6" customFormat="false" ht="15" hidden="false" customHeight="false" outlineLevel="0" collapsed="false">
      <c r="B6" s="6" t="s">
        <v>44</v>
      </c>
      <c r="C6" s="14" t="n">
        <v>0</v>
      </c>
      <c r="E6" s="15" t="s">
        <v>45</v>
      </c>
      <c r="F6" s="16" t="str">
        <f aca="false">IFERROR(C6/'Round Modeling'!C8,"-")</f>
        <v>-</v>
      </c>
    </row>
    <row r="7" customFormat="false" ht="15" hidden="false" customHeight="false" outlineLevel="0" collapsed="false">
      <c r="B7" s="6" t="s">
        <v>46</v>
      </c>
      <c r="C7" s="17" t="n">
        <v>0</v>
      </c>
      <c r="E7" s="15" t="s">
        <v>47</v>
      </c>
      <c r="F7" s="16" t="str">
        <f aca="false">IFERROR(F5*(1-C7),"-")</f>
        <v>-</v>
      </c>
    </row>
    <row r="8" customFormat="false" ht="15" hidden="false" customHeight="false" outlineLevel="0" collapsed="false">
      <c r="E8" s="1" t="s">
        <v>48</v>
      </c>
      <c r="F8" s="23" t="n">
        <f aca="false">IFERROR(MIN(IF(ISNUMBER(F5),F5,9E+099),IF(ISNUMBER(F6),F6,9E+099),IF(ISNUMBER(F7),F7,9E+099)),"-")</f>
        <v>9E+099</v>
      </c>
    </row>
    <row r="9" customFormat="false" ht="15" hidden="false" customHeight="false" outlineLevel="0" collapsed="false">
      <c r="E9" s="1" t="s">
        <v>49</v>
      </c>
      <c r="F9" s="20" t="n">
        <f aca="false">IFERROR(C5/F8,"-")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6" min="3" style="1" width="14"/>
    <col collapsed="false" customWidth="true" hidden="false" outlineLevel="0" max="8" min="7" style="1" width="16"/>
  </cols>
  <sheetData>
    <row r="2" customFormat="false" ht="19.7" hidden="false" customHeight="false" outlineLevel="0" collapsed="false">
      <c r="B2" s="2" t="s">
        <v>50</v>
      </c>
    </row>
    <row r="4" customFormat="false" ht="15" hidden="false" customHeight="false" outlineLevel="0" collapsed="false">
      <c r="A4" s="5"/>
      <c r="B4" s="5" t="s">
        <v>16</v>
      </c>
      <c r="C4" s="5" t="s">
        <v>15</v>
      </c>
      <c r="D4" s="5" t="s">
        <v>51</v>
      </c>
      <c r="E4" s="5" t="s">
        <v>52</v>
      </c>
      <c r="F4" s="5" t="s">
        <v>53</v>
      </c>
      <c r="G4" s="5" t="s">
        <v>54</v>
      </c>
      <c r="H4" s="15" t="s">
        <v>55</v>
      </c>
    </row>
    <row r="5" customFormat="false" ht="15" hidden="false" customHeight="false" outlineLevel="0" collapsed="false">
      <c r="B5" s="6" t="s">
        <v>23</v>
      </c>
      <c r="C5" s="24" t="n">
        <f aca="false">'Cap Table'!F10</f>
        <v>0</v>
      </c>
      <c r="D5" s="10" t="n">
        <f aca="false">C5</f>
        <v>0</v>
      </c>
      <c r="E5" s="25" t="str">
        <f aca="false">IFERROR('Cap Table'!D10,"-")</f>
        <v>-</v>
      </c>
      <c r="F5" s="10" t="n">
        <f aca="false">MIN($C$15,D5)</f>
        <v>0</v>
      </c>
      <c r="G5" s="10" t="str">
        <f aca="false">IFERROR($C$15*E5,"-")</f>
        <v>-</v>
      </c>
      <c r="H5" s="26" t="n">
        <f aca="false">IF($C$15&gt;SUM($D$5:$D$7),G5,F5)</f>
        <v>0</v>
      </c>
    </row>
    <row r="6" customFormat="false" ht="15" hidden="false" customHeight="false" outlineLevel="0" collapsed="false">
      <c r="B6" s="6" t="s">
        <v>22</v>
      </c>
      <c r="C6" s="24" t="n">
        <f aca="false">'Cap Table'!F9</f>
        <v>0</v>
      </c>
      <c r="D6" s="10" t="n">
        <f aca="false">C6</f>
        <v>0</v>
      </c>
      <c r="E6" s="25" t="str">
        <f aca="false">IFERROR('Cap Table'!D9,"-")</f>
        <v>-</v>
      </c>
      <c r="F6" s="10" t="n">
        <f aca="false">MIN(MAX($C$15-F5,0),D6)</f>
        <v>0</v>
      </c>
      <c r="G6" s="10" t="str">
        <f aca="false">IFERROR($C$15*E6,"-")</f>
        <v>-</v>
      </c>
      <c r="H6" s="26" t="n">
        <f aca="false">IF($C$15&gt;SUM($D$5:$D$7),G6,F6)</f>
        <v>0</v>
      </c>
    </row>
    <row r="7" customFormat="false" ht="15" hidden="false" customHeight="false" outlineLevel="0" collapsed="false">
      <c r="B7" s="6" t="s">
        <v>21</v>
      </c>
      <c r="C7" s="24" t="n">
        <f aca="false">'Cap Table'!F8</f>
        <v>0</v>
      </c>
      <c r="D7" s="10" t="n">
        <f aca="false">C7</f>
        <v>0</v>
      </c>
      <c r="E7" s="25" t="str">
        <f aca="false">IFERROR('Cap Table'!D8,"-")</f>
        <v>-</v>
      </c>
      <c r="F7" s="10" t="n">
        <f aca="false">MIN(MAX($C$15-F5-F6,0),D7)</f>
        <v>0</v>
      </c>
      <c r="G7" s="10" t="str">
        <f aca="false">IFERROR($C$15*E7,"-")</f>
        <v>-</v>
      </c>
      <c r="H7" s="26" t="n">
        <f aca="false">IF($C$15&gt;SUM($D$5:$D$7),G7,F7)</f>
        <v>0</v>
      </c>
    </row>
    <row r="8" customFormat="false" ht="15" hidden="false" customHeight="false" outlineLevel="0" collapsed="false">
      <c r="B8" s="6" t="s">
        <v>56</v>
      </c>
      <c r="C8" s="24" t="n">
        <f aca="false">'Cap Table'!F5+'Cap Table'!F6</f>
        <v>0</v>
      </c>
      <c r="D8" s="10" t="n">
        <f aca="false">C8</f>
        <v>0</v>
      </c>
      <c r="E8" s="25" t="str">
        <f aca="false">IFERROR('Cap Table'!D5+'Cap Table'!D6,"-")</f>
        <v>-</v>
      </c>
      <c r="F8" s="10" t="n">
        <f aca="false">MAX(0,$C$15-F5-F6-F7)</f>
        <v>0</v>
      </c>
      <c r="G8" s="10" t="str">
        <f aca="false">IFERROR($C$15*E8,"-")</f>
        <v>-</v>
      </c>
      <c r="H8" s="26" t="n">
        <f aca="false">IF($C$15&gt;SUM($D$5:$D$7),G8,F8)</f>
        <v>0</v>
      </c>
    </row>
    <row r="10" customFormat="false" ht="15" hidden="false" customHeight="false" outlineLevel="0" collapsed="false">
      <c r="B10" s="1" t="s">
        <v>57</v>
      </c>
      <c r="C10" s="3" t="str">
        <f aca="false">IF($C$15&gt;SUM(D5:D7),"YES — use as-converted","NO — use pref-stack")</f>
        <v>NO — use pref-stack</v>
      </c>
    </row>
    <row r="11" customFormat="false" ht="15" hidden="false" customHeight="false" outlineLevel="0" collapsed="false">
      <c r="B11" s="1" t="s">
        <v>58</v>
      </c>
      <c r="C11" s="26" t="n">
        <f aca="false">SUM(H5:H8)</f>
        <v>0</v>
      </c>
    </row>
    <row r="13" customFormat="false" ht="15" hidden="false" customHeight="false" outlineLevel="0" collapsed="false">
      <c r="B13" s="27" t="s">
        <v>59</v>
      </c>
    </row>
    <row r="15" customFormat="false" ht="15" hidden="false" customHeight="false" outlineLevel="0" collapsed="false">
      <c r="B15" s="1" t="s">
        <v>60</v>
      </c>
      <c r="C15" s="28"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8" min="3" style="1" width="13"/>
    <col collapsed="false" customWidth="true" hidden="false" outlineLevel="0" max="9" min="9" style="1" width="46"/>
  </cols>
  <sheetData>
    <row r="2" customFormat="false" ht="19.7" hidden="false" customHeight="false" outlineLevel="0" collapsed="false">
      <c r="B2" s="2" t="s">
        <v>61</v>
      </c>
    </row>
    <row r="3" customFormat="false" ht="15" hidden="false" customHeight="false" outlineLevel="0" collapsed="false">
      <c r="B3" s="27" t="s">
        <v>62</v>
      </c>
    </row>
    <row r="5" customFormat="false" ht="15" hidden="false" customHeight="false" outlineLevel="0" collapsed="false">
      <c r="B5" s="13" t="s">
        <v>26</v>
      </c>
    </row>
    <row r="6" customFormat="false" ht="15" hidden="false" customHeight="false" outlineLevel="0" collapsed="false">
      <c r="B6" s="1" t="s">
        <v>63</v>
      </c>
      <c r="C6" s="14" t="n">
        <v>10000000</v>
      </c>
    </row>
    <row r="7" customFormat="false" ht="15" hidden="false" customHeight="false" outlineLevel="0" collapsed="false">
      <c r="B7" s="1" t="s">
        <v>64</v>
      </c>
      <c r="C7" s="29" t="n">
        <v>1</v>
      </c>
    </row>
    <row r="8" customFormat="false" ht="15" hidden="false" customHeight="false" outlineLevel="0" collapsed="false">
      <c r="B8" s="1" t="s">
        <v>65</v>
      </c>
      <c r="C8" s="29" t="n">
        <v>3</v>
      </c>
    </row>
    <row r="9" customFormat="false" ht="15" hidden="false" customHeight="false" outlineLevel="0" collapsed="false">
      <c r="B9" s="1" t="s">
        <v>66</v>
      </c>
      <c r="C9" s="17" t="n">
        <v>0.2</v>
      </c>
    </row>
    <row r="11" customFormat="false" ht="15" hidden="false" customHeight="false" outlineLevel="0" collapsed="false">
      <c r="B11" s="1" t="s">
        <v>67</v>
      </c>
      <c r="C11" s="30" t="n">
        <v>20000000</v>
      </c>
      <c r="D11" s="30" t="n">
        <v>50000000</v>
      </c>
      <c r="E11" s="30" t="n">
        <v>80000000</v>
      </c>
      <c r="F11" s="30" t="n">
        <v>100000000</v>
      </c>
      <c r="G11" s="30" t="n">
        <v>150000000</v>
      </c>
      <c r="H11" s="30" t="n">
        <v>200000000</v>
      </c>
      <c r="I11" s="30" t="n">
        <v>500000000</v>
      </c>
    </row>
    <row r="12" customFormat="false" ht="15" hidden="false" customHeight="false" outlineLevel="0" collapsed="false">
      <c r="B12" s="1" t="s">
        <v>68</v>
      </c>
      <c r="C12" s="10" t="n">
        <f aca="false">$C$6*$C$7</f>
        <v>10000000</v>
      </c>
      <c r="D12" s="10" t="n">
        <f aca="false">$C$6*$C$7</f>
        <v>10000000</v>
      </c>
      <c r="E12" s="10" t="n">
        <f aca="false">$C$6*$C$7</f>
        <v>10000000</v>
      </c>
      <c r="F12" s="10" t="n">
        <f aca="false">$C$6*$C$7</f>
        <v>10000000</v>
      </c>
      <c r="G12" s="10" t="n">
        <f aca="false">$C$6*$C$7</f>
        <v>10000000</v>
      </c>
      <c r="H12" s="10" t="n">
        <f aca="false">$C$6*$C$7</f>
        <v>10000000</v>
      </c>
      <c r="I12" s="10" t="n">
        <f aca="false">$C$6*$C$7</f>
        <v>10000000</v>
      </c>
    </row>
    <row r="13" customFormat="false" ht="15" hidden="false" customHeight="false" outlineLevel="0" collapsed="false">
      <c r="B13" s="1" t="s">
        <v>69</v>
      </c>
      <c r="C13" s="10" t="n">
        <f aca="false">C12+$C$9*MAX(C11-C12,0)</f>
        <v>12000000</v>
      </c>
      <c r="D13" s="10" t="n">
        <f aca="false">D12+$C$9*MAX(D11-D12,0)</f>
        <v>18000000</v>
      </c>
      <c r="E13" s="10" t="n">
        <f aca="false">E12+$C$9*MAX(E11-E12,0)</f>
        <v>24000000</v>
      </c>
      <c r="F13" s="10" t="n">
        <f aca="false">F12+$C$9*MAX(F11-F12,0)</f>
        <v>28000000</v>
      </c>
      <c r="G13" s="10" t="n">
        <f aca="false">G12+$C$9*MAX(G11-G12,0)</f>
        <v>38000000</v>
      </c>
      <c r="H13" s="10" t="n">
        <f aca="false">H12+$C$9*MAX(H11-H12,0)</f>
        <v>48000000</v>
      </c>
      <c r="I13" s="10" t="n">
        <f aca="false">I12+$C$9*MAX(I11-I12,0)</f>
        <v>108000000</v>
      </c>
    </row>
    <row r="14" customFormat="false" ht="15" hidden="false" customHeight="false" outlineLevel="0" collapsed="false">
      <c r="B14" s="1" t="s">
        <v>70</v>
      </c>
      <c r="C14" s="10" t="n">
        <f aca="false">MIN(C13,$C$6*$C$8)</f>
        <v>12000000</v>
      </c>
      <c r="D14" s="10" t="n">
        <f aca="false">MIN(D13,$C$6*$C$8)</f>
        <v>18000000</v>
      </c>
      <c r="E14" s="10" t="n">
        <f aca="false">MIN(E13,$C$6*$C$8)</f>
        <v>24000000</v>
      </c>
      <c r="F14" s="10" t="n">
        <f aca="false">MIN(F13,$C$6*$C$8)</f>
        <v>28000000</v>
      </c>
      <c r="G14" s="10" t="n">
        <f aca="false">MIN(G13,$C$6*$C$8)</f>
        <v>30000000</v>
      </c>
      <c r="H14" s="10" t="n">
        <f aca="false">MIN(H13,$C$6*$C$8)</f>
        <v>30000000</v>
      </c>
      <c r="I14" s="10" t="n">
        <f aca="false">MIN(I13,$C$6*$C$8)</f>
        <v>30000000</v>
      </c>
    </row>
    <row r="15" customFormat="false" ht="15" hidden="false" customHeight="false" outlineLevel="0" collapsed="false">
      <c r="B15" s="1" t="s">
        <v>71</v>
      </c>
      <c r="C15" s="10" t="n">
        <f aca="false">$C$9*C11</f>
        <v>4000000</v>
      </c>
      <c r="D15" s="10" t="n">
        <f aca="false">$C$9*D11</f>
        <v>10000000</v>
      </c>
      <c r="E15" s="10" t="n">
        <f aca="false">$C$9*E11</f>
        <v>16000000</v>
      </c>
      <c r="F15" s="10" t="n">
        <f aca="false">$C$9*F11</f>
        <v>20000000</v>
      </c>
      <c r="G15" s="10" t="n">
        <f aca="false">$C$9*G11</f>
        <v>30000000</v>
      </c>
      <c r="H15" s="10" t="n">
        <f aca="false">$C$9*H11</f>
        <v>40000000</v>
      </c>
      <c r="I15" s="10" t="n">
        <f aca="false">$C$9*I11</f>
        <v>100000000</v>
      </c>
    </row>
    <row r="16" customFormat="false" ht="15" hidden="false" customHeight="false" outlineLevel="0" collapsed="false">
      <c r="B16" s="1" t="s">
        <v>72</v>
      </c>
      <c r="C16" s="26" t="n">
        <f aca="false">MAX(C14,C15)</f>
        <v>12000000</v>
      </c>
      <c r="D16" s="26" t="n">
        <f aca="false">MAX(D14,D15)</f>
        <v>18000000</v>
      </c>
      <c r="E16" s="26" t="n">
        <f aca="false">MAX(E14,E15)</f>
        <v>24000000</v>
      </c>
      <c r="F16" s="26" t="n">
        <f aca="false">MAX(F14,F15)</f>
        <v>28000000</v>
      </c>
      <c r="G16" s="26" t="n">
        <f aca="false">MAX(G14,G15)</f>
        <v>30000000</v>
      </c>
      <c r="H16" s="26" t="n">
        <f aca="false">MAX(H14,H15)</f>
        <v>40000000</v>
      </c>
      <c r="I16" s="26" t="n">
        <f aca="false">MAX(I14,I15)</f>
        <v>100000000</v>
      </c>
    </row>
    <row r="17" customFormat="false" ht="15" hidden="false" customHeight="false" outlineLevel="0" collapsed="false">
      <c r="B17" s="1" t="s">
        <v>73</v>
      </c>
      <c r="C17" s="31" t="str">
        <f aca="false">IF(C16=C15,"CONVERT TO COMMON","TAKE PREF + PARTICIPATE")</f>
        <v>TAKE PREF + PARTICIPATE</v>
      </c>
      <c r="D17" s="31" t="str">
        <f aca="false">IF(D16=D15,"CONVERT TO COMMON","TAKE PREF + PARTICIPATE")</f>
        <v>TAKE PREF + PARTICIPATE</v>
      </c>
      <c r="E17" s="31" t="str">
        <f aca="false">IF(E16=E15,"CONVERT TO COMMON","TAKE PREF + PARTICIPATE")</f>
        <v>TAKE PREF + PARTICIPATE</v>
      </c>
      <c r="F17" s="31" t="str">
        <f aca="false">IF(F16=F15,"CONVERT TO COMMON","TAKE PREF + PARTICIPATE")</f>
        <v>TAKE PREF + PARTICIPATE</v>
      </c>
      <c r="G17" s="31" t="str">
        <f aca="false">IF(G16=G15,"CONVERT TO COMMON","TAKE PREF + PARTICIPATE")</f>
        <v>CONVERT TO COMMON</v>
      </c>
      <c r="H17" s="31" t="str">
        <f aca="false">IF(H16=H15,"CONVERT TO COMMON","TAKE PREF + PARTICIPATE")</f>
        <v>CONVERT TO COMMON</v>
      </c>
      <c r="I17" s="31" t="str">
        <f aca="false">IF(I16=I15,"CONVERT TO COMMON","TAKE PREF + PARTICIPATE")</f>
        <v>CONVERT TO COMMON</v>
      </c>
    </row>
    <row r="19" customFormat="false" ht="15" hidden="false" customHeight="false" outlineLevel="0" collapsed="false">
      <c r="B19" s="1" t="s">
        <v>74</v>
      </c>
      <c r="C19" s="32" t="n">
        <f aca="false">IFERROR(C8,"-")</f>
        <v>3</v>
      </c>
      <c r="D19" s="27"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0"/>
    <col collapsed="false" customWidth="true" hidden="false" outlineLevel="0" max="3" min="3" style="1" width="14"/>
    <col collapsed="false" customWidth="true" hidden="false" outlineLevel="0" max="6" min="4" style="1" width="16"/>
    <col collapsed="false" customWidth="true" hidden="false" outlineLevel="0" max="7" min="7" style="1" width="20"/>
  </cols>
  <sheetData>
    <row r="2" customFormat="false" ht="19.7" hidden="false" customHeight="false" outlineLevel="0" collapsed="false">
      <c r="B2" s="2" t="s">
        <v>76</v>
      </c>
    </row>
    <row r="4" customFormat="false" ht="15" hidden="false" customHeight="false" outlineLevel="0" collapsed="false">
      <c r="A4" s="5"/>
      <c r="B4" s="5" t="s">
        <v>77</v>
      </c>
      <c r="C4" s="5" t="s">
        <v>78</v>
      </c>
      <c r="D4" s="5" t="s">
        <v>79</v>
      </c>
      <c r="E4" s="5" t="s">
        <v>80</v>
      </c>
      <c r="F4" s="5" t="s">
        <v>81</v>
      </c>
      <c r="G4" s="15" t="s">
        <v>82</v>
      </c>
    </row>
    <row r="5" customFormat="false" ht="15" hidden="false" customHeight="false" outlineLevel="0" collapsed="false">
      <c r="B5" s="33" t="s">
        <v>2</v>
      </c>
      <c r="C5" s="33" t="s">
        <v>2</v>
      </c>
      <c r="D5" s="33" t="s">
        <v>2</v>
      </c>
      <c r="E5" s="34" t="n">
        <v>0</v>
      </c>
      <c r="F5" s="34" t="n">
        <v>0</v>
      </c>
      <c r="G5" s="33" t="s">
        <v>2</v>
      </c>
    </row>
    <row r="6" customFormat="false" ht="15" hidden="false" customHeight="false" outlineLevel="0" collapsed="false">
      <c r="B6" s="33" t="s">
        <v>2</v>
      </c>
      <c r="C6" s="33" t="s">
        <v>2</v>
      </c>
      <c r="D6" s="33" t="s">
        <v>2</v>
      </c>
      <c r="E6" s="34" t="n">
        <v>0</v>
      </c>
      <c r="F6" s="34" t="n">
        <v>0</v>
      </c>
      <c r="G6" s="33" t="s">
        <v>2</v>
      </c>
    </row>
    <row r="7" customFormat="false" ht="15" hidden="false" customHeight="false" outlineLevel="0" collapsed="false">
      <c r="B7" s="33" t="s">
        <v>2</v>
      </c>
      <c r="C7" s="33" t="s">
        <v>2</v>
      </c>
      <c r="D7" s="33" t="s">
        <v>2</v>
      </c>
      <c r="E7" s="34" t="n">
        <v>0</v>
      </c>
      <c r="F7" s="34" t="n">
        <v>0</v>
      </c>
      <c r="G7" s="33" t="s">
        <v>2</v>
      </c>
    </row>
    <row r="8" customFormat="false" ht="15" hidden="false" customHeight="false" outlineLevel="0" collapsed="false">
      <c r="B8" s="33" t="s">
        <v>2</v>
      </c>
      <c r="C8" s="33" t="s">
        <v>2</v>
      </c>
      <c r="D8" s="33" t="s">
        <v>2</v>
      </c>
      <c r="E8" s="34" t="n">
        <v>0</v>
      </c>
      <c r="F8" s="34" t="n">
        <v>0</v>
      </c>
      <c r="G8" s="33" t="s">
        <v>2</v>
      </c>
    </row>
    <row r="9" customFormat="false" ht="15" hidden="false" customHeight="false" outlineLevel="0" collapsed="false">
      <c r="B9" s="33" t="s">
        <v>2</v>
      </c>
      <c r="C9" s="33" t="s">
        <v>2</v>
      </c>
      <c r="D9" s="33" t="s">
        <v>2</v>
      </c>
      <c r="E9" s="34" t="n">
        <v>0</v>
      </c>
      <c r="F9" s="34" t="n">
        <v>0</v>
      </c>
      <c r="G9" s="33" t="s">
        <v>2</v>
      </c>
    </row>
    <row r="10" customFormat="false" ht="15" hidden="false" customHeight="false" outlineLevel="0" collapsed="false">
      <c r="B10" s="33" t="s">
        <v>2</v>
      </c>
      <c r="C10" s="33" t="s">
        <v>2</v>
      </c>
      <c r="D10" s="33" t="s">
        <v>2</v>
      </c>
      <c r="E10" s="34" t="n">
        <v>0</v>
      </c>
      <c r="F10" s="34" t="n">
        <v>0</v>
      </c>
      <c r="G10" s="33" t="s">
        <v>2</v>
      </c>
    </row>
    <row r="11" customFormat="false" ht="15" hidden="false" customHeight="false" outlineLevel="0" collapsed="false">
      <c r="B11" s="33" t="s">
        <v>2</v>
      </c>
      <c r="C11" s="33" t="s">
        <v>2</v>
      </c>
      <c r="D11" s="33" t="s">
        <v>2</v>
      </c>
      <c r="E11" s="34" t="n">
        <v>0</v>
      </c>
      <c r="F11" s="34" t="n">
        <v>0</v>
      </c>
      <c r="G11" s="33" t="s">
        <v>2</v>
      </c>
    </row>
    <row r="12" customFormat="false" ht="15" hidden="false" customHeight="false" outlineLevel="0" collapsed="false">
      <c r="B12" s="33" t="s">
        <v>2</v>
      </c>
      <c r="C12" s="33" t="s">
        <v>2</v>
      </c>
      <c r="D12" s="33" t="s">
        <v>2</v>
      </c>
      <c r="E12" s="34" t="n">
        <v>0</v>
      </c>
      <c r="F12" s="34" t="n">
        <v>0</v>
      </c>
      <c r="G12" s="33" t="s">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30"/>
    <col collapsed="false" customWidth="true" hidden="false" outlineLevel="0" max="4" min="4" style="1" width="14"/>
    <col collapsed="false" customWidth="true" hidden="false" outlineLevel="0" max="5" min="5" style="1" width="46"/>
  </cols>
  <sheetData>
    <row r="2" customFormat="false" ht="19.7" hidden="false" customHeight="false" outlineLevel="0" collapsed="false">
      <c r="B2" s="2" t="s">
        <v>83</v>
      </c>
    </row>
    <row r="3" customFormat="false" ht="15" hidden="false" customHeight="false" outlineLevel="0" collapsed="false">
      <c r="B3" s="27" t="s">
        <v>84</v>
      </c>
    </row>
    <row r="5" customFormat="false" ht="15" hidden="false" customHeight="false" outlineLevel="0" collapsed="false">
      <c r="B5" s="5" t="s">
        <v>85</v>
      </c>
      <c r="C5" s="5" t="s">
        <v>86</v>
      </c>
      <c r="D5" s="5" t="s">
        <v>87</v>
      </c>
      <c r="E5" s="5" t="s">
        <v>88</v>
      </c>
    </row>
    <row r="6" customFormat="false" ht="15" hidden="false" customHeight="false" outlineLevel="0" collapsed="false">
      <c r="B6" s="35" t="s">
        <v>89</v>
      </c>
      <c r="C6" s="35" t="s">
        <v>90</v>
      </c>
      <c r="D6" s="35" t="s">
        <v>91</v>
      </c>
      <c r="E6" s="36" t="s">
        <v>92</v>
      </c>
    </row>
    <row r="7" customFormat="false" ht="15" hidden="false" customHeight="false" outlineLevel="0" collapsed="false">
      <c r="B7" s="35" t="s">
        <v>93</v>
      </c>
      <c r="C7" s="35" t="s">
        <v>94</v>
      </c>
      <c r="D7" s="35" t="s">
        <v>91</v>
      </c>
      <c r="E7" s="36" t="s">
        <v>95</v>
      </c>
    </row>
    <row r="8" customFormat="false" ht="15" hidden="false" customHeight="false" outlineLevel="0" collapsed="false">
      <c r="B8" s="35" t="s">
        <v>96</v>
      </c>
      <c r="C8" s="35" t="s">
        <v>97</v>
      </c>
      <c r="D8" s="35" t="s">
        <v>91</v>
      </c>
      <c r="E8" s="36" t="s">
        <v>98</v>
      </c>
    </row>
    <row r="9" customFormat="false" ht="15" hidden="false" customHeight="false" outlineLevel="0" collapsed="false">
      <c r="B9" s="35" t="s">
        <v>99</v>
      </c>
      <c r="C9" s="35" t="s">
        <v>100</v>
      </c>
      <c r="D9" s="35" t="s">
        <v>91</v>
      </c>
      <c r="E9" s="36"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40"/>
    <col collapsed="false" customWidth="true" hidden="false" outlineLevel="0" max="3" min="3" style="1" width="18"/>
    <col collapsed="false" customWidth="true" hidden="false" outlineLevel="0" max="4" min="4" style="1" width="46"/>
  </cols>
  <sheetData>
    <row r="2" customFormat="false" ht="19.7" hidden="false" customHeight="false" outlineLevel="0" collapsed="false">
      <c r="B2" s="2" t="s">
        <v>102</v>
      </c>
    </row>
    <row r="3" customFormat="false" ht="15" hidden="false" customHeight="false" outlineLevel="0" collapsed="false">
      <c r="B3" s="27" t="s">
        <v>103</v>
      </c>
    </row>
    <row r="5" customFormat="false" ht="15" hidden="false" customHeight="false" outlineLevel="0" collapsed="false">
      <c r="B5" s="5" t="s">
        <v>104</v>
      </c>
      <c r="C5" s="5" t="s">
        <v>105</v>
      </c>
      <c r="D5" s="5" t="s">
        <v>106</v>
      </c>
    </row>
    <row r="6" customFormat="false" ht="15" hidden="false" customHeight="false" outlineLevel="0" collapsed="false">
      <c r="B6" s="35" t="s">
        <v>107</v>
      </c>
      <c r="C6" s="37" t="b">
        <f aca="false">IF(MAX('Participating Preferred'!C14:I14)&lt;=('Participating Preferred'!$C$6*'Participating Preferred'!$C$8)*1.0000001,TRUE(),FALSE())</f>
        <v>1</v>
      </c>
      <c r="D6" s="36" t="s">
        <v>108</v>
      </c>
    </row>
    <row r="7" customFormat="false" ht="15" hidden="false" customHeight="false" outlineLevel="0" collapsed="false">
      <c r="B7" s="35" t="s">
        <v>109</v>
      </c>
      <c r="C7" s="37" t="b">
        <f aca="false">IF('Participating Preferred'!I17="CONVERT TO COMMON",TRUE(),FALSE())</f>
        <v>1</v>
      </c>
      <c r="D7" s="36" t="s">
        <v>110</v>
      </c>
    </row>
    <row r="8" customFormat="false" ht="15" hidden="false" customHeight="false" outlineLevel="0" collapsed="false">
      <c r="B8" s="35" t="s">
        <v>111</v>
      </c>
      <c r="C8" s="37" t="b">
        <f aca="false">IF('Participating Preferred'!C17="TAKE PREF + PARTICIPATE",TRUE(),FALSE())</f>
        <v>1</v>
      </c>
      <c r="D8" s="36" t="s">
        <v>112</v>
      </c>
    </row>
    <row r="9" customFormat="false" ht="15" hidden="false" customHeight="false" outlineLevel="0" collapsed="false">
      <c r="B9" s="35" t="s">
        <v>113</v>
      </c>
      <c r="C9" s="37" t="n">
        <f aca="false">'Exit Waterfall'!C11-'Exit Waterfall'!C15</f>
        <v>0</v>
      </c>
      <c r="D9" s="36" t="s">
        <v>114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3" min="3" style="1" width="16"/>
    <col collapsed="false" customWidth="true" hidden="false" outlineLevel="0" max="5" min="4" style="1" width="30"/>
    <col collapsed="false" customWidth="true" hidden="false" outlineLevel="0" max="6" min="6" style="1" width="16"/>
  </cols>
  <sheetData>
    <row r="2" customFormat="false" ht="19.7" hidden="false" customHeight="false" outlineLevel="0" collapsed="false">
      <c r="B2" s="2" t="s">
        <v>115</v>
      </c>
    </row>
    <row r="4" customFormat="false" ht="15" hidden="false" customHeight="false" outlineLevel="0" collapsed="false">
      <c r="B4" s="5" t="s">
        <v>79</v>
      </c>
      <c r="C4" s="5" t="s">
        <v>116</v>
      </c>
      <c r="D4" s="5" t="s">
        <v>117</v>
      </c>
      <c r="E4" s="5" t="s">
        <v>118</v>
      </c>
      <c r="F4" s="5" t="s">
        <v>119</v>
      </c>
    </row>
    <row r="5" customFormat="false" ht="15" hidden="false" customHeight="false" outlineLevel="0" collapsed="false">
      <c r="B5" s="31"/>
      <c r="C5" s="31"/>
      <c r="D5" s="31"/>
      <c r="E5" s="31"/>
      <c r="F5" s="31"/>
    </row>
    <row r="6" customFormat="false" ht="15" hidden="false" customHeight="false" outlineLevel="0" collapsed="false">
      <c r="B6" s="31"/>
      <c r="C6" s="31"/>
      <c r="D6" s="31"/>
      <c r="E6" s="31"/>
      <c r="F6" s="31"/>
    </row>
    <row r="7" customFormat="false" ht="15" hidden="false" customHeight="false" outlineLevel="0" collapsed="false">
      <c r="B7" s="31"/>
      <c r="C7" s="31"/>
      <c r="D7" s="31"/>
      <c r="E7" s="31"/>
      <c r="F7" s="31"/>
    </row>
    <row r="8" customFormat="false" ht="15" hidden="false" customHeight="false" outlineLevel="0" collapsed="false">
      <c r="B8" s="31"/>
      <c r="C8" s="31"/>
      <c r="D8" s="31"/>
      <c r="E8" s="31"/>
      <c r="F8" s="31"/>
    </row>
    <row r="9" customFormat="false" ht="15" hidden="false" customHeight="false" outlineLevel="0" collapsed="false">
      <c r="B9" s="31"/>
      <c r="C9" s="31"/>
      <c r="D9" s="31"/>
      <c r="E9" s="31"/>
      <c r="F9" s="31"/>
    </row>
    <row r="10" customFormat="false" ht="15" hidden="false" customHeight="false" outlineLevel="0" collapsed="false">
      <c r="B10" s="31"/>
      <c r="C10" s="31"/>
      <c r="D10" s="31"/>
      <c r="E10" s="31"/>
      <c r="F10" s="31"/>
    </row>
    <row r="11" customFormat="false" ht="15" hidden="false" customHeight="false" outlineLevel="0" collapsed="false">
      <c r="B11" s="31"/>
      <c r="C11" s="31"/>
      <c r="D11" s="31"/>
      <c r="E11" s="31"/>
      <c r="F11" s="31"/>
    </row>
    <row r="12" customFormat="false" ht="15" hidden="false" customHeight="false" outlineLevel="0" collapsed="false">
      <c r="B12" s="31"/>
      <c r="C12" s="31"/>
      <c r="D12" s="31"/>
      <c r="E12" s="31"/>
      <c r="F12" s="31"/>
    </row>
    <row r="13" customFormat="false" ht="15" hidden="false" customHeight="false" outlineLevel="0" collapsed="false">
      <c r="B13" s="31"/>
      <c r="C13" s="31"/>
      <c r="D13" s="31"/>
      <c r="E13" s="31"/>
      <c r="F13" s="31"/>
    </row>
    <row r="14" customFormat="false" ht="15" hidden="false" customHeight="false" outlineLevel="0" collapsed="false">
      <c r="B14" s="31"/>
      <c r="C14" s="31"/>
      <c r="D14" s="31"/>
      <c r="E14" s="31"/>
      <c r="F14"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2026-08-04T14:57:02Z</dcterms:created>
  <dc:creator>openpyxl</dc:creator>
  <dc:description/>
  <dc:language>en-US</dc:language>
  <cp:lastModifiedBy/>
  <dcterms:modified xsi:type="dcterms:W3CDTF">2026-08-04T14:57:02Z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