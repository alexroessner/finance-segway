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ap Table" sheetId="2" state="visible" r:id="rId4"/>
    <sheet name="Round Modeling" sheetId="3" state="visible" r:id="rId5"/>
    <sheet name="SAFE Conversion" sheetId="4" state="visible" r:id="rId6"/>
    <sheet name="Exit Waterfall" sheetId="5" state="visible" r:id="rId7"/>
    <sheet name="Comparable Financings" sheetId="6" state="visible" r:id="rId8"/>
    <sheet name="RefreshLo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<sst xmlns="http://schemas.openxmlformats.org/spreadsheetml/2006/main" count="117" uniqueCount="73">
  <si>
    <t xml:space="preserve">[COMPANY] — Venture Capital Model</t>
  </si>
  <si>
    <t xml:space="preserve">Sector:</t>
  </si>
  <si>
    <t xml:space="preserve">[fill in]</t>
  </si>
  <si>
    <t xml:space="preserve">Current stage:</t>
  </si>
  <si>
    <t xml:space="preserve">Seed / A / B / C / Growth</t>
  </si>
  <si>
    <t xml:space="preserve">Last refreshed:</t>
  </si>
  <si>
    <t xml:space="preserve">[date]</t>
  </si>
  <si>
    <t xml:space="preserve">Next round expected:</t>
  </si>
  <si>
    <t xml:space="preserve">Refresh cadence:</t>
  </si>
  <si>
    <t xml:space="preserve">Weekly</t>
  </si>
  <si>
    <t xml:space="preserve">Capitalization Table</t>
  </si>
  <si>
    <t xml:space="preserve">Holder / Class</t>
  </si>
  <si>
    <t xml:space="preserve">Shares</t>
  </si>
  <si>
    <t xml:space="preserve">% Fully Diluted</t>
  </si>
  <si>
    <t xml:space="preserve">Price paid/sh</t>
  </si>
  <si>
    <t xml:space="preserve">Invested $</t>
  </si>
  <si>
    <t xml:space="preserve">Class</t>
  </si>
  <si>
    <t xml:space="preserve">Founders (common)</t>
  </si>
  <si>
    <t xml:space="preserve">Common/Pref</t>
  </si>
  <si>
    <t xml:space="preserve">Employee option pool</t>
  </si>
  <si>
    <t xml:space="preserve">SAFE holders (pre-conversion)</t>
  </si>
  <si>
    <t xml:space="preserve">Seed preferred</t>
  </si>
  <si>
    <t xml:space="preserve">Series A preferred</t>
  </si>
  <si>
    <t xml:space="preserve">Series B preferred</t>
  </si>
  <si>
    <t xml:space="preserve">Total</t>
  </si>
  <si>
    <t xml:space="preserve">New Round Modeling</t>
  </si>
  <si>
    <t xml:space="preserve">Inputs</t>
  </si>
  <si>
    <t xml:space="preserve">Outputs</t>
  </si>
  <si>
    <t xml:space="preserve">Pre-money valuation</t>
  </si>
  <si>
    <t xml:space="preserve">Post-money valuation</t>
  </si>
  <si>
    <t xml:space="preserve">New money raised</t>
  </si>
  <si>
    <t xml:space="preserve">Price per share</t>
  </si>
  <si>
    <t xml:space="preserve">New option pool top-up %</t>
  </si>
  <si>
    <t xml:space="preserve">New shares issued (investor)</t>
  </si>
  <si>
    <t xml:space="preserve">Existing fully diluted shares</t>
  </si>
  <si>
    <t xml:space="preserve">New pool shares (top-up)</t>
  </si>
  <si>
    <t xml:space="preserve">Total post-round shares</t>
  </si>
  <si>
    <t xml:space="preserve">New investor ownership %</t>
  </si>
  <si>
    <t xml:space="preserve">Existing holder dilution %</t>
  </si>
  <si>
    <t xml:space="preserve">SAFE / Convertible Note Conversion</t>
  </si>
  <si>
    <t xml:space="preserve">SAFE Terms</t>
  </si>
  <si>
    <t xml:space="preserve">At Priced Round</t>
  </si>
  <si>
    <t xml:space="preserve">SAFE investment amount</t>
  </si>
  <si>
    <t xml:space="preserve">Priced round price/share</t>
  </si>
  <si>
    <t xml:space="preserve">Valuation cap</t>
  </si>
  <si>
    <t xml:space="preserve">Cap price/share (cap / pre-round FD shares)</t>
  </si>
  <si>
    <t xml:space="preserve">Discount %</t>
  </si>
  <si>
    <t xml:space="preserve">Discount price/share</t>
  </si>
  <si>
    <t xml:space="preserve">SAFE conversion price (lower of cap/discount/round)</t>
  </si>
  <si>
    <t xml:space="preserve">SAFE shares issued</t>
  </si>
  <si>
    <t xml:space="preserve">Exit Proceeds Waterfall (1x non-participating pref)</t>
  </si>
  <si>
    <t xml:space="preserve">Liq. pref (1x)</t>
  </si>
  <si>
    <t xml:space="preserve">As-converted %</t>
  </si>
  <si>
    <t xml:space="preserve">Pref-stack scenario</t>
  </si>
  <si>
    <t xml:space="preserve">As-converted scenario</t>
  </si>
  <si>
    <t xml:space="preserve">Actual proceeds</t>
  </si>
  <si>
    <t xml:space="preserve">Common (founders + pool)</t>
  </si>
  <si>
    <t xml:space="preserve">Regime: as-converted pays more fund-wide than the full pref stack?</t>
  </si>
  <si>
    <t xml:space="preserve">Total distributed (check — should equal total exit proceeds)</t>
  </si>
  <si>
    <t xml:space="preserve">Simplification: switches the WHOLE cap table between the pref-stack and as-converted scenario based on one global test (total proceeds vs. sum of all preferences), rather than letting each class elect independently. Real waterfalls often have junior classes convert while senior ones keep their pref, in the middle range between these two extremes — that requires testing conversion elections class by class (a small solver, not a single formula). This always ties to total proceeds and is exactly right at both extremes; treat the boundary/middle range as a case for a proper waterfall tool or counsel, not this template.</t>
  </si>
  <si>
    <t xml:space="preserve">Total exit proceeds</t>
  </si>
  <si>
    <t xml:space="preserve">Comparable Financings</t>
  </si>
  <si>
    <t xml:space="preserve">Company</t>
  </si>
  <si>
    <t xml:space="preserve">Round</t>
  </si>
  <si>
    <t xml:space="preserve">Date</t>
  </si>
  <si>
    <t xml:space="preserve">Pre-money</t>
  </si>
  <si>
    <t xml:space="preserve">Amount raised</t>
  </si>
  <si>
    <t xml:space="preserve">Lead investor</t>
  </si>
  <si>
    <t xml:space="preserve">Refresh Log</t>
  </si>
  <si>
    <t xml:space="preserve">Trigger</t>
  </si>
  <si>
    <t xml:space="preserve">What changed</t>
  </si>
  <si>
    <t xml:space="preserve">Reviewer notes</t>
  </si>
  <si>
    <t xml:space="preserve">Next check</t>
  </si>
</sst>
</file>

<file path=xl/styles.xml><?xml version="1.0" encoding="utf-8"?>
<styleSheet xmlns="http://schemas.openxmlformats.org/spreadsheetml/2006/main">
  <numFmts count="5">
    <numFmt numFmtId="164" formatCode="General"/>
    <numFmt numFmtId="165" formatCode="#,##0;\(#,##0\);\-"/>
    <numFmt numFmtId="166" formatCode="0.0%;\(0.0%\);\-"/>
    <numFmt numFmtId="167" formatCode="\$#,##0.00;&quot;($&quot;#,##0.00\);\-"/>
    <numFmt numFmtId="168" formatCode="\$#,##0;&quot;($&quot;#,##0\);\-"/>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sz val="10"/>
      <color rgb="FF000000"/>
      <name val="Arial"/>
      <family val="0"/>
      <charset val="1"/>
    </font>
    <font>
      <sz val="10"/>
      <color rgb="FF008000"/>
      <name val="Arial"/>
      <family val="0"/>
      <charset val="1"/>
    </font>
    <font>
      <i val="true"/>
      <sz val="8"/>
      <color rgb="FF80808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D9D9"/>
        <bgColor rgb="FFBFBFB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7" fontId="6"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8" fontId="6" fillId="4"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6" fontId="6" fillId="4"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5" fontId="6" fillId="4" borderId="1"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8" fontId="9" fillId="0" borderId="1" xfId="0" applyFont="true" applyBorder="true" applyAlignment="true" applyProtection="true">
      <alignment horizontal="general" vertical="bottom" textRotation="0" wrapText="false" indent="0" shrinkToFit="false"/>
      <protection locked="true" hidden="false"/>
    </xf>
    <xf numFmtId="166" fontId="9" fillId="0" borderId="1" xfId="0" applyFont="true" applyBorder="true" applyAlignment="true" applyProtection="true">
      <alignment horizontal="general" vertical="bottom" textRotation="0" wrapText="false" indent="0" shrinkToFit="false"/>
      <protection locked="true" hidden="false"/>
    </xf>
    <xf numFmtId="168" fontId="5" fillId="0"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8" fontId="6" fillId="4"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8" fontId="6"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40"/>
    <col collapsed="false" customWidth="true" hidden="false" outlineLevel="0" max="4" min="4" style="1" width="4"/>
  </cols>
  <sheetData>
    <row r="2" customFormat="false" ht="19.7" hidden="false" customHeight="false" outlineLevel="0" collapsed="false">
      <c r="B2" s="2" t="s">
        <v>0</v>
      </c>
    </row>
    <row r="4" customFormat="false" ht="15" hidden="false" customHeight="false" outlineLevel="0" collapsed="false">
      <c r="B4" s="3" t="s">
        <v>1</v>
      </c>
      <c r="C4" s="4" t="s">
        <v>2</v>
      </c>
    </row>
    <row r="5" customFormat="false" ht="15" hidden="false" customHeight="false" outlineLevel="0" collapsed="false">
      <c r="B5" s="3" t="s">
        <v>3</v>
      </c>
      <c r="C5" s="4" t="s">
        <v>4</v>
      </c>
    </row>
    <row r="6" customFormat="false" ht="15" hidden="false" customHeight="false" outlineLevel="0" collapsed="false">
      <c r="B6" s="3" t="s">
        <v>5</v>
      </c>
      <c r="C6" s="4" t="s">
        <v>6</v>
      </c>
    </row>
    <row r="7" customFormat="false" ht="15" hidden="false" customHeight="false" outlineLevel="0" collapsed="false">
      <c r="B7" s="3" t="s">
        <v>7</v>
      </c>
      <c r="C7" s="4" t="s">
        <v>6</v>
      </c>
    </row>
    <row r="8" customFormat="false" ht="15" hidden="false" customHeight="false" outlineLevel="0" collapsed="false">
      <c r="B8" s="3" t="s">
        <v>8</v>
      </c>
      <c r="C8" s="4"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7" min="3" style="1" width="14"/>
  </cols>
  <sheetData>
    <row r="2" customFormat="false" ht="19.7" hidden="false" customHeight="false" outlineLevel="0" collapsed="false">
      <c r="B2" s="2" t="s">
        <v>10</v>
      </c>
    </row>
    <row r="4" customFormat="false" ht="15" hidden="false" customHeight="false" outlineLevel="0" collapsed="false">
      <c r="A4" s="5"/>
      <c r="B4" s="5" t="s">
        <v>11</v>
      </c>
      <c r="C4" s="5" t="s">
        <v>12</v>
      </c>
      <c r="D4" s="5" t="s">
        <v>13</v>
      </c>
      <c r="E4" s="5" t="s">
        <v>14</v>
      </c>
      <c r="F4" s="5" t="s">
        <v>15</v>
      </c>
      <c r="G4" s="5" t="s">
        <v>16</v>
      </c>
    </row>
    <row r="5" customFormat="false" ht="15" hidden="false" customHeight="false" outlineLevel="0" collapsed="false">
      <c r="B5" s="6" t="s">
        <v>17</v>
      </c>
      <c r="C5" s="7" t="n">
        <v>0</v>
      </c>
      <c r="D5" s="8" t="str">
        <f aca="false">IFERROR(C5/$C$11,"-")</f>
        <v>-</v>
      </c>
      <c r="E5" s="9" t="n">
        <v>0</v>
      </c>
      <c r="F5" s="10" t="n">
        <f aca="false">C5*E5</f>
        <v>0</v>
      </c>
      <c r="G5" s="4" t="s">
        <v>18</v>
      </c>
    </row>
    <row r="6" customFormat="false" ht="15" hidden="false" customHeight="false" outlineLevel="0" collapsed="false">
      <c r="B6" s="6" t="s">
        <v>19</v>
      </c>
      <c r="C6" s="7" t="n">
        <v>0</v>
      </c>
      <c r="D6" s="8" t="str">
        <f aca="false">IFERROR(C6/$C$11,"-")</f>
        <v>-</v>
      </c>
      <c r="E6" s="9" t="n">
        <v>0</v>
      </c>
      <c r="F6" s="10" t="n">
        <f aca="false">C6*E6</f>
        <v>0</v>
      </c>
      <c r="G6" s="4" t="s">
        <v>18</v>
      </c>
    </row>
    <row r="7" customFormat="false" ht="15" hidden="false" customHeight="false" outlineLevel="0" collapsed="false">
      <c r="B7" s="6" t="s">
        <v>20</v>
      </c>
      <c r="C7" s="7" t="n">
        <v>0</v>
      </c>
      <c r="D7" s="8" t="str">
        <f aca="false">IFERROR(C7/$C$11,"-")</f>
        <v>-</v>
      </c>
      <c r="E7" s="9" t="n">
        <v>0</v>
      </c>
      <c r="F7" s="10" t="n">
        <f aca="false">C7*E7</f>
        <v>0</v>
      </c>
      <c r="G7" s="4" t="s">
        <v>18</v>
      </c>
    </row>
    <row r="8" customFormat="false" ht="15" hidden="false" customHeight="false" outlineLevel="0" collapsed="false">
      <c r="B8" s="6" t="s">
        <v>21</v>
      </c>
      <c r="C8" s="7" t="n">
        <v>0</v>
      </c>
      <c r="D8" s="8" t="str">
        <f aca="false">IFERROR(C8/$C$11,"-")</f>
        <v>-</v>
      </c>
      <c r="E8" s="9" t="n">
        <v>0</v>
      </c>
      <c r="F8" s="10" t="n">
        <f aca="false">C8*E8</f>
        <v>0</v>
      </c>
      <c r="G8" s="4" t="s">
        <v>18</v>
      </c>
    </row>
    <row r="9" customFormat="false" ht="15" hidden="false" customHeight="false" outlineLevel="0" collapsed="false">
      <c r="B9" s="6" t="s">
        <v>22</v>
      </c>
      <c r="C9" s="7" t="n">
        <v>0</v>
      </c>
      <c r="D9" s="8" t="str">
        <f aca="false">IFERROR(C9/$C$11,"-")</f>
        <v>-</v>
      </c>
      <c r="E9" s="9" t="n">
        <v>0</v>
      </c>
      <c r="F9" s="10" t="n">
        <f aca="false">C9*E9</f>
        <v>0</v>
      </c>
      <c r="G9" s="4" t="s">
        <v>18</v>
      </c>
    </row>
    <row r="10" customFormat="false" ht="15" hidden="false" customHeight="false" outlineLevel="0" collapsed="false">
      <c r="B10" s="6" t="s">
        <v>23</v>
      </c>
      <c r="C10" s="7" t="n">
        <v>0</v>
      </c>
      <c r="D10" s="8" t="str">
        <f aca="false">IFERROR(C10/$C$11,"-")</f>
        <v>-</v>
      </c>
      <c r="E10" s="9" t="n">
        <v>0</v>
      </c>
      <c r="F10" s="10" t="n">
        <f aca="false">C10*E10</f>
        <v>0</v>
      </c>
      <c r="G10" s="4" t="s">
        <v>18</v>
      </c>
    </row>
    <row r="11" customFormat="false" ht="15" hidden="false" customHeight="false" outlineLevel="0" collapsed="false">
      <c r="B11" s="3" t="s">
        <v>24</v>
      </c>
      <c r="C11" s="11" t="n">
        <f aca="false">SUM(C5:C10)</f>
        <v>0</v>
      </c>
      <c r="F11" s="12" t="n">
        <f aca="false">SUM(F5:F10)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16"/>
    <col collapsed="false" customWidth="true" hidden="false" outlineLevel="0" max="4" min="4" style="1" width="4"/>
    <col collapsed="false" customWidth="true" hidden="false" outlineLevel="0" max="5" min="5" style="1" width="26"/>
    <col collapsed="false" customWidth="true" hidden="false" outlineLevel="0" max="6" min="6" style="1" width="16"/>
  </cols>
  <sheetData>
    <row r="2" customFormat="false" ht="19.7" hidden="false" customHeight="false" outlineLevel="0" collapsed="false">
      <c r="B2" s="2" t="s">
        <v>25</v>
      </c>
    </row>
    <row r="4" customFormat="false" ht="15" hidden="false" customHeight="false" outlineLevel="0" collapsed="false">
      <c r="B4" s="13" t="s">
        <v>26</v>
      </c>
      <c r="E4" s="13" t="s">
        <v>27</v>
      </c>
    </row>
    <row r="5" customFormat="false" ht="15" hidden="false" customHeight="false" outlineLevel="0" collapsed="false">
      <c r="B5" s="6" t="s">
        <v>28</v>
      </c>
      <c r="C5" s="14" t="n">
        <v>0</v>
      </c>
      <c r="E5" s="15" t="s">
        <v>29</v>
      </c>
      <c r="F5" s="10" t="n">
        <f aca="false">C5+C6</f>
        <v>0</v>
      </c>
    </row>
    <row r="6" customFormat="false" ht="15" hidden="false" customHeight="false" outlineLevel="0" collapsed="false">
      <c r="B6" s="6" t="s">
        <v>30</v>
      </c>
      <c r="C6" s="14" t="n">
        <v>0</v>
      </c>
      <c r="E6" s="15" t="s">
        <v>31</v>
      </c>
      <c r="F6" s="16" t="str">
        <f aca="false">IFERROR(C5/C8,"-")</f>
        <v>-</v>
      </c>
    </row>
    <row r="7" customFormat="false" ht="15" hidden="false" customHeight="false" outlineLevel="0" collapsed="false">
      <c r="B7" s="6" t="s">
        <v>32</v>
      </c>
      <c r="C7" s="17" t="n">
        <v>0</v>
      </c>
      <c r="E7" s="15" t="s">
        <v>33</v>
      </c>
      <c r="F7" s="18" t="str">
        <f aca="false">IFERROR(C6/F6,"-")</f>
        <v>-</v>
      </c>
    </row>
    <row r="8" customFormat="false" ht="15" hidden="false" customHeight="false" outlineLevel="0" collapsed="false">
      <c r="B8" s="6" t="s">
        <v>34</v>
      </c>
      <c r="C8" s="19" t="n">
        <v>0</v>
      </c>
      <c r="E8" s="15" t="s">
        <v>35</v>
      </c>
      <c r="F8" s="18" t="str">
        <f aca="false">IFERROR(C7*(C8+F7),"-")</f>
        <v>-</v>
      </c>
    </row>
    <row r="9" customFormat="false" ht="15" hidden="false" customHeight="false" outlineLevel="0" collapsed="false">
      <c r="E9" s="1" t="s">
        <v>36</v>
      </c>
      <c r="F9" s="20" t="str">
        <f aca="false">IFERROR(C8+F7+F8,"-")</f>
        <v>-</v>
      </c>
    </row>
    <row r="10" customFormat="false" ht="15" hidden="false" customHeight="false" outlineLevel="0" collapsed="false">
      <c r="E10" s="1" t="s">
        <v>37</v>
      </c>
      <c r="F10" s="21" t="str">
        <f aca="false">IFERROR(F7/F9,"-")</f>
        <v>-</v>
      </c>
    </row>
    <row r="11" customFormat="false" ht="15" hidden="false" customHeight="false" outlineLevel="0" collapsed="false">
      <c r="E11" s="1" t="s">
        <v>38</v>
      </c>
      <c r="F11" s="21" t="str">
        <f aca="false">IFERROR(1-C8/F9,"-")</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14"/>
    <col collapsed="false" customWidth="true" hidden="false" outlineLevel="0" max="4" min="4" style="1" width="4"/>
    <col collapsed="false" customWidth="true" hidden="false" outlineLevel="0" max="5" min="5" style="1" width="28"/>
    <col collapsed="false" customWidth="true" hidden="false" outlineLevel="0" max="6" min="6" style="1" width="16"/>
  </cols>
  <sheetData>
    <row r="2" customFormat="false" ht="19.7" hidden="false" customHeight="false" outlineLevel="0" collapsed="false">
      <c r="B2" s="2" t="s">
        <v>39</v>
      </c>
    </row>
    <row r="4" customFormat="false" ht="15" hidden="false" customHeight="false" outlineLevel="0" collapsed="false">
      <c r="B4" s="13" t="s">
        <v>40</v>
      </c>
      <c r="E4" s="13" t="s">
        <v>41</v>
      </c>
    </row>
    <row r="5" customFormat="false" ht="15" hidden="false" customHeight="false" outlineLevel="0" collapsed="false">
      <c r="B5" s="6" t="s">
        <v>42</v>
      </c>
      <c r="C5" s="14" t="n">
        <v>0</v>
      </c>
      <c r="E5" s="15" t="s">
        <v>43</v>
      </c>
      <c r="F5" s="22" t="str">
        <f aca="false">'Round Modeling'!F6</f>
        <v>-</v>
      </c>
    </row>
    <row r="6" customFormat="false" ht="15" hidden="false" customHeight="false" outlineLevel="0" collapsed="false">
      <c r="B6" s="6" t="s">
        <v>44</v>
      </c>
      <c r="C6" s="14" t="n">
        <v>0</v>
      </c>
      <c r="E6" s="15" t="s">
        <v>45</v>
      </c>
      <c r="F6" s="16" t="str">
        <f aca="false">IFERROR(C6/'Round Modeling'!C8,"-")</f>
        <v>-</v>
      </c>
    </row>
    <row r="7" customFormat="false" ht="15" hidden="false" customHeight="false" outlineLevel="0" collapsed="false">
      <c r="B7" s="6" t="s">
        <v>46</v>
      </c>
      <c r="C7" s="17" t="n">
        <v>0</v>
      </c>
      <c r="E7" s="15" t="s">
        <v>47</v>
      </c>
      <c r="F7" s="16" t="str">
        <f aca="false">IFERROR(F5*(1-C7),"-")</f>
        <v>-</v>
      </c>
    </row>
    <row r="8" customFormat="false" ht="15" hidden="false" customHeight="false" outlineLevel="0" collapsed="false">
      <c r="E8" s="1" t="s">
        <v>48</v>
      </c>
      <c r="F8" s="23" t="n">
        <f aca="false">IFERROR(MIN(IF(ISNUMBER(F5),F5,9E+099),IF(ISNUMBER(F6),F6,9E+099),IF(ISNUMBER(F7),F7,9E+099)),"-")</f>
        <v>9E+099</v>
      </c>
    </row>
    <row r="9" customFormat="false" ht="15" hidden="false" customHeight="false" outlineLevel="0" collapsed="false">
      <c r="E9" s="1" t="s">
        <v>49</v>
      </c>
      <c r="F9" s="20" t="n">
        <f aca="false">IFERROR(C5/F8,"-")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6" min="3" style="1" width="14"/>
    <col collapsed="false" customWidth="true" hidden="false" outlineLevel="0" max="8" min="7" style="1" width="16"/>
  </cols>
  <sheetData>
    <row r="2" customFormat="false" ht="19.7" hidden="false" customHeight="false" outlineLevel="0" collapsed="false">
      <c r="B2" s="2" t="s">
        <v>50</v>
      </c>
    </row>
    <row r="4" customFormat="false" ht="15" hidden="false" customHeight="false" outlineLevel="0" collapsed="false">
      <c r="A4" s="5"/>
      <c r="B4" s="5" t="s">
        <v>16</v>
      </c>
      <c r="C4" s="5" t="s">
        <v>15</v>
      </c>
      <c r="D4" s="5" t="s">
        <v>51</v>
      </c>
      <c r="E4" s="5" t="s">
        <v>52</v>
      </c>
      <c r="F4" s="5" t="s">
        <v>53</v>
      </c>
      <c r="G4" s="5" t="s">
        <v>54</v>
      </c>
      <c r="H4" s="15" t="s">
        <v>55</v>
      </c>
    </row>
    <row r="5" customFormat="false" ht="15" hidden="false" customHeight="false" outlineLevel="0" collapsed="false">
      <c r="B5" s="6" t="s">
        <v>23</v>
      </c>
      <c r="C5" s="24" t="n">
        <f aca="false">'Cap Table'!F10</f>
        <v>0</v>
      </c>
      <c r="D5" s="10" t="n">
        <f aca="false">C5</f>
        <v>0</v>
      </c>
      <c r="E5" s="25" t="str">
        <f aca="false">IFERROR('Cap Table'!D10,"-")</f>
        <v>-</v>
      </c>
      <c r="F5" s="10" t="n">
        <f aca="false">MIN($C$15,D5)</f>
        <v>0</v>
      </c>
      <c r="G5" s="10" t="str">
        <f aca="false">IFERROR($C$15*E5,"-")</f>
        <v>-</v>
      </c>
      <c r="H5" s="26" t="n">
        <f aca="false">IF($C$15&gt;SUM($D$5:$D$7),G5,F5)</f>
        <v>0</v>
      </c>
    </row>
    <row r="6" customFormat="false" ht="15" hidden="false" customHeight="false" outlineLevel="0" collapsed="false">
      <c r="B6" s="6" t="s">
        <v>22</v>
      </c>
      <c r="C6" s="24" t="n">
        <f aca="false">'Cap Table'!F9</f>
        <v>0</v>
      </c>
      <c r="D6" s="10" t="n">
        <f aca="false">C6</f>
        <v>0</v>
      </c>
      <c r="E6" s="25" t="str">
        <f aca="false">IFERROR('Cap Table'!D9,"-")</f>
        <v>-</v>
      </c>
      <c r="F6" s="10" t="n">
        <f aca="false">MIN(MAX($C$15-F5,0),D6)</f>
        <v>0</v>
      </c>
      <c r="G6" s="10" t="str">
        <f aca="false">IFERROR($C$15*E6,"-")</f>
        <v>-</v>
      </c>
      <c r="H6" s="26" t="n">
        <f aca="false">IF($C$15&gt;SUM($D$5:$D$7),G6,F6)</f>
        <v>0</v>
      </c>
    </row>
    <row r="7" customFormat="false" ht="15" hidden="false" customHeight="false" outlineLevel="0" collapsed="false">
      <c r="B7" s="6" t="s">
        <v>21</v>
      </c>
      <c r="C7" s="24" t="n">
        <f aca="false">'Cap Table'!F8</f>
        <v>0</v>
      </c>
      <c r="D7" s="10" t="n">
        <f aca="false">C7</f>
        <v>0</v>
      </c>
      <c r="E7" s="25" t="str">
        <f aca="false">IFERROR('Cap Table'!D8,"-")</f>
        <v>-</v>
      </c>
      <c r="F7" s="10" t="n">
        <f aca="false">MIN(MAX($C$15-F5-F6,0),D7)</f>
        <v>0</v>
      </c>
      <c r="G7" s="10" t="str">
        <f aca="false">IFERROR($C$15*E7,"-")</f>
        <v>-</v>
      </c>
      <c r="H7" s="26" t="n">
        <f aca="false">IF($C$15&gt;SUM($D$5:$D$7),G7,F7)</f>
        <v>0</v>
      </c>
    </row>
    <row r="8" customFormat="false" ht="15" hidden="false" customHeight="false" outlineLevel="0" collapsed="false">
      <c r="B8" s="6" t="s">
        <v>56</v>
      </c>
      <c r="C8" s="24" t="n">
        <f aca="false">'Cap Table'!F5+'Cap Table'!F6</f>
        <v>0</v>
      </c>
      <c r="D8" s="10" t="n">
        <f aca="false">C8</f>
        <v>0</v>
      </c>
      <c r="E8" s="25" t="str">
        <f aca="false">IFERROR('Cap Table'!D5+'Cap Table'!D6,"-")</f>
        <v>-</v>
      </c>
      <c r="F8" s="10" t="n">
        <f aca="false">MAX(0,$C$15-F5-F6-F7)</f>
        <v>0</v>
      </c>
      <c r="G8" s="10" t="str">
        <f aca="false">IFERROR($C$15*E8,"-")</f>
        <v>-</v>
      </c>
      <c r="H8" s="26" t="n">
        <f aca="false">IF($C$15&gt;SUM($D$5:$D$7),G8,F8)</f>
        <v>0</v>
      </c>
    </row>
    <row r="10" customFormat="false" ht="15" hidden="false" customHeight="false" outlineLevel="0" collapsed="false">
      <c r="B10" s="1" t="s">
        <v>57</v>
      </c>
      <c r="C10" s="3" t="str">
        <f aca="false">IF($C$15&gt;SUM(D5:D7),"YES — use as-converted","NO — use pref-stack")</f>
        <v>NO — use pref-stack</v>
      </c>
    </row>
    <row r="11" customFormat="false" ht="15" hidden="false" customHeight="false" outlineLevel="0" collapsed="false">
      <c r="B11" s="1" t="s">
        <v>58</v>
      </c>
      <c r="C11" s="26" t="n">
        <f aca="false">SUM(H5:H8)</f>
        <v>0</v>
      </c>
    </row>
    <row r="13" customFormat="false" ht="15" hidden="false" customHeight="false" outlineLevel="0" collapsed="false">
      <c r="B13" s="27" t="s">
        <v>59</v>
      </c>
    </row>
    <row r="15" customFormat="false" ht="15" hidden="false" customHeight="false" outlineLevel="0" collapsed="false">
      <c r="B15" s="1" t="s">
        <v>60</v>
      </c>
      <c r="C15" s="2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3" min="3" style="1" width="14"/>
    <col collapsed="false" customWidth="true" hidden="false" outlineLevel="0" max="6" min="4" style="1" width="16"/>
    <col collapsed="false" customWidth="true" hidden="false" outlineLevel="0" max="7" min="7" style="1" width="20"/>
  </cols>
  <sheetData>
    <row r="2" customFormat="false" ht="19.7" hidden="false" customHeight="false" outlineLevel="0" collapsed="false">
      <c r="B2" s="2" t="s">
        <v>61</v>
      </c>
    </row>
    <row r="4" customFormat="false" ht="15" hidden="false" customHeight="false" outlineLevel="0" collapsed="false">
      <c r="A4" s="5"/>
      <c r="B4" s="5" t="s">
        <v>62</v>
      </c>
      <c r="C4" s="5" t="s">
        <v>63</v>
      </c>
      <c r="D4" s="5" t="s">
        <v>64</v>
      </c>
      <c r="E4" s="5" t="s">
        <v>65</v>
      </c>
      <c r="F4" s="5" t="s">
        <v>66</v>
      </c>
      <c r="G4" s="15" t="s">
        <v>67</v>
      </c>
    </row>
    <row r="5" customFormat="false" ht="15" hidden="false" customHeight="false" outlineLevel="0" collapsed="false">
      <c r="B5" s="29" t="s">
        <v>2</v>
      </c>
      <c r="C5" s="29" t="s">
        <v>2</v>
      </c>
      <c r="D5" s="29" t="s">
        <v>2</v>
      </c>
      <c r="E5" s="30" t="n">
        <v>0</v>
      </c>
      <c r="F5" s="30" t="n">
        <v>0</v>
      </c>
      <c r="G5" s="29" t="s">
        <v>2</v>
      </c>
    </row>
    <row r="6" customFormat="false" ht="15" hidden="false" customHeight="false" outlineLevel="0" collapsed="false">
      <c r="B6" s="29" t="s">
        <v>2</v>
      </c>
      <c r="C6" s="29" t="s">
        <v>2</v>
      </c>
      <c r="D6" s="29" t="s">
        <v>2</v>
      </c>
      <c r="E6" s="30" t="n">
        <v>0</v>
      </c>
      <c r="F6" s="30" t="n">
        <v>0</v>
      </c>
      <c r="G6" s="29" t="s">
        <v>2</v>
      </c>
    </row>
    <row r="7" customFormat="false" ht="15" hidden="false" customHeight="false" outlineLevel="0" collapsed="false">
      <c r="B7" s="29" t="s">
        <v>2</v>
      </c>
      <c r="C7" s="29" t="s">
        <v>2</v>
      </c>
      <c r="D7" s="29" t="s">
        <v>2</v>
      </c>
      <c r="E7" s="30" t="n">
        <v>0</v>
      </c>
      <c r="F7" s="30" t="n">
        <v>0</v>
      </c>
      <c r="G7" s="29" t="s">
        <v>2</v>
      </c>
    </row>
    <row r="8" customFormat="false" ht="15" hidden="false" customHeight="false" outlineLevel="0" collapsed="false">
      <c r="B8" s="29" t="s">
        <v>2</v>
      </c>
      <c r="C8" s="29" t="s">
        <v>2</v>
      </c>
      <c r="D8" s="29" t="s">
        <v>2</v>
      </c>
      <c r="E8" s="30" t="n">
        <v>0</v>
      </c>
      <c r="F8" s="30" t="n">
        <v>0</v>
      </c>
      <c r="G8" s="29" t="s">
        <v>2</v>
      </c>
    </row>
    <row r="9" customFormat="false" ht="15" hidden="false" customHeight="false" outlineLevel="0" collapsed="false">
      <c r="B9" s="29" t="s">
        <v>2</v>
      </c>
      <c r="C9" s="29" t="s">
        <v>2</v>
      </c>
      <c r="D9" s="29" t="s">
        <v>2</v>
      </c>
      <c r="E9" s="30" t="n">
        <v>0</v>
      </c>
      <c r="F9" s="30" t="n">
        <v>0</v>
      </c>
      <c r="G9" s="29" t="s">
        <v>2</v>
      </c>
    </row>
    <row r="10" customFormat="false" ht="15" hidden="false" customHeight="false" outlineLevel="0" collapsed="false">
      <c r="B10" s="29" t="s">
        <v>2</v>
      </c>
      <c r="C10" s="29" t="s">
        <v>2</v>
      </c>
      <c r="D10" s="29" t="s">
        <v>2</v>
      </c>
      <c r="E10" s="30" t="n">
        <v>0</v>
      </c>
      <c r="F10" s="30" t="n">
        <v>0</v>
      </c>
      <c r="G10" s="29" t="s">
        <v>2</v>
      </c>
    </row>
    <row r="11" customFormat="false" ht="15" hidden="false" customHeight="false" outlineLevel="0" collapsed="false">
      <c r="B11" s="29" t="s">
        <v>2</v>
      </c>
      <c r="C11" s="29" t="s">
        <v>2</v>
      </c>
      <c r="D11" s="29" t="s">
        <v>2</v>
      </c>
      <c r="E11" s="30" t="n">
        <v>0</v>
      </c>
      <c r="F11" s="30" t="n">
        <v>0</v>
      </c>
      <c r="G11" s="29" t="s">
        <v>2</v>
      </c>
    </row>
    <row r="12" customFormat="false" ht="15" hidden="false" customHeight="false" outlineLevel="0" collapsed="false">
      <c r="B12" s="29" t="s">
        <v>2</v>
      </c>
      <c r="C12" s="29" t="s">
        <v>2</v>
      </c>
      <c r="D12" s="29" t="s">
        <v>2</v>
      </c>
      <c r="E12" s="30" t="n">
        <v>0</v>
      </c>
      <c r="F12" s="30" t="n">
        <v>0</v>
      </c>
      <c r="G12" s="29" t="s">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3" min="3" style="1" width="16"/>
    <col collapsed="false" customWidth="true" hidden="false" outlineLevel="0" max="5" min="4" style="1" width="30"/>
    <col collapsed="false" customWidth="true" hidden="false" outlineLevel="0" max="6" min="6" style="1" width="16"/>
  </cols>
  <sheetData>
    <row r="2" customFormat="false" ht="19.7" hidden="false" customHeight="false" outlineLevel="0" collapsed="false">
      <c r="B2" s="2" t="s">
        <v>68</v>
      </c>
    </row>
    <row r="4" customFormat="false" ht="15" hidden="false" customHeight="false" outlineLevel="0" collapsed="false">
      <c r="B4" s="5" t="s">
        <v>64</v>
      </c>
      <c r="C4" s="5" t="s">
        <v>69</v>
      </c>
      <c r="D4" s="5" t="s">
        <v>70</v>
      </c>
      <c r="E4" s="5" t="s">
        <v>71</v>
      </c>
      <c r="F4" s="5" t="s">
        <v>72</v>
      </c>
    </row>
    <row r="5" customFormat="false" ht="15" hidden="false" customHeight="false" outlineLevel="0" collapsed="false">
      <c r="B5" s="31"/>
      <c r="C5" s="31"/>
      <c r="D5" s="31"/>
      <c r="E5" s="31"/>
      <c r="F5" s="31"/>
    </row>
    <row r="6" customFormat="false" ht="15" hidden="false" customHeight="false" outlineLevel="0" collapsed="false">
      <c r="B6" s="31"/>
      <c r="C6" s="31"/>
      <c r="D6" s="31"/>
      <c r="E6" s="31"/>
      <c r="F6" s="31"/>
    </row>
    <row r="7" customFormat="false" ht="15" hidden="false" customHeight="false" outlineLevel="0" collapsed="false">
      <c r="B7" s="31"/>
      <c r="C7" s="31"/>
      <c r="D7" s="31"/>
      <c r="E7" s="31"/>
      <c r="F7" s="31"/>
    </row>
    <row r="8" customFormat="false" ht="15" hidden="false" customHeight="false" outlineLevel="0" collapsed="false">
      <c r="B8" s="31"/>
      <c r="C8" s="31"/>
      <c r="D8" s="31"/>
      <c r="E8" s="31"/>
      <c r="F8" s="31"/>
    </row>
    <row r="9" customFormat="false" ht="15" hidden="false" customHeight="false" outlineLevel="0" collapsed="false">
      <c r="B9" s="31"/>
      <c r="C9" s="31"/>
      <c r="D9" s="31"/>
      <c r="E9" s="31"/>
      <c r="F9" s="31"/>
    </row>
    <row r="10" customFormat="false" ht="15" hidden="false" customHeight="false" outlineLevel="0" collapsed="false">
      <c r="B10" s="31"/>
      <c r="C10" s="31"/>
      <c r="D10" s="31"/>
      <c r="E10" s="31"/>
      <c r="F10" s="31"/>
    </row>
    <row r="11" customFormat="false" ht="15" hidden="false" customHeight="false" outlineLevel="0" collapsed="false">
      <c r="B11" s="31"/>
      <c r="C11" s="31"/>
      <c r="D11" s="31"/>
      <c r="E11" s="31"/>
      <c r="F11" s="31"/>
    </row>
    <row r="12" customFormat="false" ht="15" hidden="false" customHeight="false" outlineLevel="0" collapsed="false">
      <c r="B12" s="31"/>
      <c r="C12" s="31"/>
      <c r="D12" s="31"/>
      <c r="E12" s="31"/>
      <c r="F12" s="31"/>
    </row>
    <row r="13" customFormat="false" ht="15" hidden="false" customHeight="false" outlineLevel="0" collapsed="false">
      <c r="B13" s="31"/>
      <c r="C13" s="31"/>
      <c r="D13" s="31"/>
      <c r="E13" s="31"/>
      <c r="F13" s="31"/>
    </row>
    <row r="14" customFormat="false" ht="15" hidden="false" customHeight="false" outlineLevel="0" collapsed="false">
      <c r="B14" s="31"/>
      <c r="C14" s="31"/>
      <c r="D14" s="31"/>
      <c r="E14" s="31"/>
      <c r="F14"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2026-08-03T23:07:28Z</dcterms:created>
  <dc:creator>openpyxl</dc:creator>
  <dc:description/>
  <dc:language>en-US</dc:language>
  <cp:lastModifiedBy/>
  <dcterms:modified xsi:type="dcterms:W3CDTF">2026-08-03T23:07:28Z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