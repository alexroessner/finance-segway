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ebt Sustainability" sheetId="2" state="visible" r:id="rId4"/>
    <sheet name="Revenue Bond Coverage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<sst xmlns="http://schemas.openxmlformats.org/spreadsheetml/2006/main" count="44" uniqueCount="41">
  <si>
    <t xml:space="preserve">[ISSUER] — Public Finance Model</t>
  </si>
  <si>
    <t xml:space="preserve">Issuer:</t>
  </si>
  <si>
    <t xml:space="preserve">[fill in — sovereign, state, muni, agency]</t>
  </si>
  <si>
    <t xml:space="preserve">Instrument:</t>
  </si>
  <si>
    <t xml:space="preserve">[general obligation / revenue bond / sovereign note]</t>
  </si>
  <si>
    <t xml:space="preserve">Last refreshed:</t>
  </si>
  <si>
    <t xml:space="preserve">[date]</t>
  </si>
  <si>
    <t xml:space="preserve">Next payment / issuance date:</t>
  </si>
  <si>
    <t xml:space="preserve">Refresh cadence:</t>
  </si>
  <si>
    <t xml:space="preserve">Weekly</t>
  </si>
  <si>
    <t xml:space="preserve">Debt Sustainability Analysis (DSA)</t>
  </si>
  <si>
    <t xml:space="preserve">Inputs</t>
  </si>
  <si>
    <t xml:space="preserve">Total public debt / GDP (or Debt/Revenue) ratio (%)</t>
  </si>
  <si>
    <t xml:space="preserve">Effective interest rate on debt, r (%)</t>
  </si>
  <si>
    <t xml:space="preserve">Nominal GDP (or revenue base) growth rate, g (%)</t>
  </si>
  <si>
    <t xml:space="preserve">Current primary balance (% of GDP; surplus positive)</t>
  </si>
  <si>
    <t xml:space="preserve">Outputs</t>
  </si>
  <si>
    <t xml:space="preserve">Debt-stabilizing primary balance, pb* = (r-g)/(1+g) x debt ratio</t>
  </si>
  <si>
    <t xml:space="preserve">Standard IMF/DSA formula. If r&gt;g, debt ratio is explosive unless the primary balance is at least this large.</t>
  </si>
  <si>
    <t xml:space="preserve">Primary balance gap (current minus required)</t>
  </si>
  <si>
    <t xml:space="preserve">Negative = running a bigger deficit than needed to stabilize the debt ratio; ratio will rise.</t>
  </si>
  <si>
    <t xml:space="preserve">Debt trajectory</t>
  </si>
  <si>
    <t xml:space="preserve">Rule of thumb only — ignores stock-flow adjustments, FX-denominated debt, contingent liabilities.</t>
  </si>
  <si>
    <t xml:space="preserve">Revenue Bond Coverage</t>
  </si>
  <si>
    <t xml:space="preserve">Gross pledged revenue ($)</t>
  </si>
  <si>
    <t xml:space="preserve">Operating &amp; maintenance expense ($)</t>
  </si>
  <si>
    <t xml:space="preserve">Senior debt service — P&amp;I ($)</t>
  </si>
  <si>
    <t xml:space="preserve">Subordinate debt service — P&amp;I ($)</t>
  </si>
  <si>
    <t xml:space="preserve">Net revenue available for debt service</t>
  </si>
  <si>
    <t xml:space="preserve">Senior DSCR (Net revenue / Senior debt service)</t>
  </si>
  <si>
    <t xml:space="preserve">All-in DSCR (Net revenue / Total debt service)</t>
  </si>
  <si>
    <t xml:space="preserve">Additional Bonds Test</t>
  </si>
  <si>
    <t xml:space="preserve">ABT minimum senior DSCR covenant</t>
  </si>
  <si>
    <t xml:space="preserve">Headroom (actual minus covenant)</t>
  </si>
  <si>
    <t xml:space="preserve">Passes ABT?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</si>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</sst>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;\(0.0%\);\-"/>
    <numFmt numFmtId="166" formatCode="0.00%;\(0.00%\);\-"/>
    <numFmt numFmtId="167" formatCode="\$#,##0;&quot;($&quot;#,##0\);\-"/>
    <numFmt numFmtId="168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12</v>
      </c>
      <c r="C5" s="7" t="n">
        <v>0.6</v>
      </c>
    </row>
    <row r="6" customFormat="false" ht="15" hidden="false" customHeight="false" outlineLevel="0" collapsed="false">
      <c r="B6" s="6" t="s">
        <v>13</v>
      </c>
      <c r="C6" s="8" t="n">
        <v>0.05</v>
      </c>
    </row>
    <row r="7" customFormat="false" ht="15" hidden="false" customHeight="false" outlineLevel="0" collapsed="false">
      <c r="B7" s="6" t="s">
        <v>14</v>
      </c>
      <c r="C7" s="8" t="n">
        <v>0.02</v>
      </c>
    </row>
    <row r="8" customFormat="false" ht="15" hidden="false" customHeight="false" outlineLevel="0" collapsed="false">
      <c r="B8" s="6" t="s">
        <v>15</v>
      </c>
      <c r="C8" s="8" t="n">
        <v>0</v>
      </c>
    </row>
    <row r="10" customFormat="false" ht="15" hidden="false" customHeight="false" outlineLevel="0" collapsed="false">
      <c r="B10" s="5" t="s">
        <v>16</v>
      </c>
    </row>
    <row r="11" customFormat="false" ht="15" hidden="false" customHeight="false" outlineLevel="0" collapsed="false">
      <c r="B11" s="1" t="s">
        <v>17</v>
      </c>
      <c r="C11" s="9" t="n">
        <f aca="false">IFERROR((C6-C7)/(1+C7)*C5,"-")</f>
        <v>0.0176470588235294</v>
      </c>
      <c r="D11" s="10" t="s">
        <v>18</v>
      </c>
    </row>
    <row r="12" customFormat="false" ht="15" hidden="false" customHeight="false" outlineLevel="0" collapsed="false">
      <c r="B12" s="1" t="s">
        <v>19</v>
      </c>
      <c r="C12" s="11" t="n">
        <f aca="false">IFERROR(C8-C11,"-")</f>
        <v>-0.0176470588235294</v>
      </c>
      <c r="D12" s="10" t="s">
        <v>20</v>
      </c>
    </row>
    <row r="13" customFormat="false" ht="15" hidden="false" customHeight="false" outlineLevel="0" collapsed="false">
      <c r="B13" s="1" t="s">
        <v>21</v>
      </c>
      <c r="C13" s="3" t="str">
        <f aca="false">IFERROR(IF(C8&gt;=C11,"STABILIZING/FALLING","RISING"),"-")</f>
        <v>RISING</v>
      </c>
      <c r="D13" s="1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23</v>
      </c>
    </row>
    <row r="4" customFormat="false" ht="15" hidden="false" customHeight="false" outlineLevel="0" collapsed="false">
      <c r="B4" s="5" t="s">
        <v>11</v>
      </c>
    </row>
    <row r="5" customFormat="false" ht="15" hidden="false" customHeight="false" outlineLevel="0" collapsed="false">
      <c r="B5" s="6" t="s">
        <v>24</v>
      </c>
      <c r="C5" s="12" t="n">
        <v>0</v>
      </c>
    </row>
    <row r="6" customFormat="false" ht="15" hidden="false" customHeight="false" outlineLevel="0" collapsed="false">
      <c r="B6" s="6" t="s">
        <v>25</v>
      </c>
      <c r="C6" s="12" t="n">
        <v>0</v>
      </c>
    </row>
    <row r="7" customFormat="false" ht="15" hidden="false" customHeight="false" outlineLevel="0" collapsed="false">
      <c r="B7" s="6" t="s">
        <v>26</v>
      </c>
      <c r="C7" s="12" t="n">
        <v>0</v>
      </c>
    </row>
    <row r="8" customFormat="false" ht="15" hidden="false" customHeight="false" outlineLevel="0" collapsed="false">
      <c r="B8" s="6" t="s">
        <v>27</v>
      </c>
      <c r="C8" s="12" t="n">
        <v>0</v>
      </c>
    </row>
    <row r="10" customFormat="false" ht="15" hidden="false" customHeight="false" outlineLevel="0" collapsed="false">
      <c r="B10" s="5" t="s">
        <v>16</v>
      </c>
    </row>
    <row r="11" customFormat="false" ht="15" hidden="false" customHeight="false" outlineLevel="0" collapsed="false">
      <c r="B11" s="1" t="s">
        <v>28</v>
      </c>
      <c r="C11" s="13" t="n">
        <f aca="false">IFERROR(C5-C6,"-")</f>
        <v>0</v>
      </c>
    </row>
    <row r="12" customFormat="false" ht="15" hidden="false" customHeight="false" outlineLevel="0" collapsed="false">
      <c r="B12" s="1" t="s">
        <v>29</v>
      </c>
      <c r="C12" s="14" t="str">
        <f aca="false">IFERROR(C11/C7,"-")</f>
        <v>-</v>
      </c>
    </row>
    <row r="13" customFormat="false" ht="15" hidden="false" customHeight="false" outlineLevel="0" collapsed="false">
      <c r="B13" s="1" t="s">
        <v>30</v>
      </c>
      <c r="C13" s="14" t="str">
        <f aca="false">IFERROR(C11/(C7+C8),"-")</f>
        <v>-</v>
      </c>
    </row>
    <row r="15" customFormat="false" ht="15" hidden="false" customHeight="false" outlineLevel="0" collapsed="false">
      <c r="B15" s="5" t="s">
        <v>31</v>
      </c>
    </row>
    <row r="16" customFormat="false" ht="15" hidden="false" customHeight="false" outlineLevel="0" collapsed="false">
      <c r="B16" s="1" t="s">
        <v>32</v>
      </c>
      <c r="C16" s="15" t="n">
        <v>1.25</v>
      </c>
    </row>
    <row r="17" customFormat="false" ht="15" hidden="false" customHeight="false" outlineLevel="0" collapsed="false">
      <c r="B17" s="1" t="s">
        <v>33</v>
      </c>
      <c r="C17" s="16" t="str">
        <f aca="false">IFERROR(C12-C16,"-")</f>
        <v>-</v>
      </c>
    </row>
    <row r="18" customFormat="false" ht="15" hidden="false" customHeight="false" outlineLevel="0" collapsed="false">
      <c r="B18" s="1" t="s">
        <v>34</v>
      </c>
      <c r="C18" s="3" t="str">
        <f aca="false">IF(NOT(ISNUMBER(C12)),"-",IF(C12&gt;=C16,"PASS — can issue additional parity debt","FAIL"))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35</v>
      </c>
    </row>
    <row r="4" customFormat="false" ht="15" hidden="false" customHeight="false" outlineLevel="0" collapsed="false">
      <c r="B4" s="17" t="s">
        <v>36</v>
      </c>
      <c r="C4" s="17" t="s">
        <v>37</v>
      </c>
      <c r="D4" s="17" t="s">
        <v>38</v>
      </c>
      <c r="E4" s="17" t="s">
        <v>39</v>
      </c>
      <c r="F4" s="17" t="s">
        <v>40</v>
      </c>
    </row>
    <row r="5" customFormat="false" ht="15" hidden="false" customHeight="false" outlineLevel="0" collapsed="false">
      <c r="B5" s="18"/>
      <c r="C5" s="18"/>
      <c r="D5" s="18"/>
      <c r="E5" s="18"/>
      <c r="F5" s="18"/>
    </row>
    <row r="6" customFormat="false" ht="15" hidden="false" customHeight="false" outlineLevel="0" collapsed="false">
      <c r="B6" s="18"/>
      <c r="C6" s="18"/>
      <c r="D6" s="18"/>
      <c r="E6" s="18"/>
      <c r="F6" s="18"/>
    </row>
    <row r="7" customFormat="false" ht="15" hidden="false" customHeight="false" outlineLevel="0" collapsed="false">
      <c r="B7" s="18"/>
      <c r="C7" s="18"/>
      <c r="D7" s="18"/>
      <c r="E7" s="18"/>
      <c r="F7" s="18"/>
    </row>
    <row r="8" customFormat="false" ht="15" hidden="false" customHeight="false" outlineLevel="0" collapsed="false">
      <c r="B8" s="18"/>
      <c r="C8" s="18"/>
      <c r="D8" s="18"/>
      <c r="E8" s="18"/>
      <c r="F8" s="18"/>
    </row>
    <row r="9" customFormat="false" ht="15" hidden="false" customHeight="false" outlineLevel="0" collapsed="false">
      <c r="B9" s="18"/>
      <c r="C9" s="18"/>
      <c r="D9" s="18"/>
      <c r="E9" s="18"/>
      <c r="F9" s="18"/>
    </row>
    <row r="10" customFormat="false" ht="15" hidden="false" customHeight="false" outlineLevel="0" collapsed="false">
      <c r="B10" s="18"/>
      <c r="C10" s="18"/>
      <c r="D10" s="18"/>
      <c r="E10" s="18"/>
      <c r="F10" s="18"/>
    </row>
    <row r="11" customFormat="false" ht="15" hidden="false" customHeight="false" outlineLevel="0" collapsed="false">
      <c r="B11" s="18"/>
      <c r="C11" s="18"/>
      <c r="D11" s="18"/>
      <c r="E11" s="18"/>
      <c r="F11" s="18"/>
    </row>
    <row r="12" customFormat="false" ht="15" hidden="false" customHeight="false" outlineLevel="0" collapsed="false">
      <c r="B12" s="18"/>
      <c r="C12" s="18"/>
      <c r="D12" s="18"/>
      <c r="E12" s="18"/>
      <c r="F12" s="18"/>
    </row>
    <row r="13" customFormat="false" ht="15" hidden="false" customHeight="false" outlineLevel="0" collapsed="false">
      <c r="B13" s="18"/>
      <c r="C13" s="18"/>
      <c r="D13" s="18"/>
      <c r="E13" s="18"/>
      <c r="F13" s="18"/>
    </row>
    <row r="14" customFormat="false" ht="15" hidden="false" customHeight="false" outlineLevel="0" collapsed="false">
      <c r="B14" s="18"/>
      <c r="C14" s="18"/>
      <c r="D14" s="18"/>
      <c r="E14" s="18"/>
      <c r="F1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2026-08-03T22:39:22Z</dcterms:created>
  <dc:creator>openpyxl</dc:creator>
  <dc:description/>
  <dc:language>en-US</dc:language>
  <cp:lastModifiedBy/>
  <dcterms:modified xsi:type="dcterms:W3CDTF">2026-08-03T22:39:22Z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