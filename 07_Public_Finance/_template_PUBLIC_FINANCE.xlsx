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bt Sustainability" sheetId="2" state="visible" r:id="rId4"/>
    <sheet name="Revenue Bond Coverage" sheetId="3" state="visible" r:id="rId5"/>
    <sheet name="Additional Bonds Test" sheetId="4" state="visible" r:id="rId6"/>
    <sheet name="Sources" sheetId="5" state="visible" r:id="rId7"/>
    <sheet name="Checks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<sst xmlns="http://schemas.openxmlformats.org/spreadsheetml/2006/main" count="122" uniqueCount="114">
  <si>
    <t xml:space="preserve">[ISSUER] — Public Finance Model</t>
  </si>
  <si>
    <t xml:space="preserve">Issuer:</t>
  </si>
  <si>
    <t xml:space="preserve">[fill in — sovereign, state, muni, agency]</t>
  </si>
  <si>
    <t xml:space="preserve">Instrument:</t>
  </si>
  <si>
    <t xml:space="preserve">[general obligation / revenue bond / sovereign note]</t>
  </si>
  <si>
    <t xml:space="preserve">Last refreshed:</t>
  </si>
  <si>
    <t xml:space="preserve">[date]</t>
  </si>
  <si>
    <t xml:space="preserve">Next payment / issuance date:</t>
  </si>
  <si>
    <t xml:space="preserve">Refresh cadence:</t>
  </si>
  <si>
    <t xml:space="preserve">Weekly</t>
  </si>
  <si>
    <t xml:space="preserve">Scenario (Base/Stress):</t>
  </si>
  <si>
    <t xml:space="preserve">Base</t>
  </si>
  <si>
    <t xml:space="preserve">Debt Sustainability Analysis (DSA)</t>
  </si>
  <si>
    <t xml:space="preserve">Inputs</t>
  </si>
  <si>
    <t xml:space="preserve">Total public debt / GDP (or Debt/Revenue) ratio (%)</t>
  </si>
  <si>
    <t xml:space="preserve">Effective interest rate on debt, r (%)</t>
  </si>
  <si>
    <t xml:space="preserve">Nominal GDP (or revenue base) growth rate, g (%)</t>
  </si>
  <si>
    <t xml:space="preserve">Current primary balance (% of GDP; surplus positive)</t>
  </si>
  <si>
    <t xml:space="preserve">Outputs</t>
  </si>
  <si>
    <t xml:space="preserve">Debt-stabilizing primary balance, pb* = (r-g)/(1+g) x debt ratio</t>
  </si>
  <si>
    <t xml:space="preserve">Standard IMF/DSA formula. If r&gt;g, debt ratio is explosive unless the primary balance is at least this large.</t>
  </si>
  <si>
    <t xml:space="preserve">Primary balance gap (current minus required)</t>
  </si>
  <si>
    <t xml:space="preserve">Negative = running a bigger deficit than needed to stabilize the debt ratio; ratio will rise.</t>
  </si>
  <si>
    <t xml:space="preserve">Debt trajectory</t>
  </si>
  <si>
    <t xml:space="preserve">Rule of thumb only — ignores stock-flow adjustments, FX-denominated debt, contingent liabilities.</t>
  </si>
  <si>
    <t xml:space="preserve">Revenue Bond Coverage</t>
  </si>
  <si>
    <t xml:space="preserve">Gross pledged revenue ($)</t>
  </si>
  <si>
    <t xml:space="preserve">Operating &amp; maintenance expense ($)</t>
  </si>
  <si>
    <t xml:space="preserve">Senior debt service — P&amp;I ($)</t>
  </si>
  <si>
    <t xml:space="preserve">Subordinate debt service — P&amp;I ($)</t>
  </si>
  <si>
    <t xml:space="preserve">Net revenue available for debt service</t>
  </si>
  <si>
    <t xml:space="preserve">Senior DSCR (Net revenue / Senior debt service)</t>
  </si>
  <si>
    <t xml:space="preserve">All-in DSCR (Net revenue / Total debt service)</t>
  </si>
  <si>
    <t xml:space="preserve">Additional Bonds Test covenant</t>
  </si>
  <si>
    <t xml:space="preserve">ABT minimum senior DSCR covenant</t>
  </si>
  <si>
    <t xml:space="preserve">Current-period headroom (actual minus covenant)</t>
  </si>
  <si>
    <t xml:space="preserve">See the 'Additional Bonds Test' sheet for the forward-looking test on a proposed new issuance</t>
  </si>
  <si>
    <t xml:space="preserve">Additional Bonds Test — Proposed New Issuance</t>
  </si>
  <si>
    <t xml:space="preserve">A static current-DSCR-vs-covenant check answers 'are we compliant today.' An ABT answers a different question: 'if we issue $X of new parity debt, do we STILL clear covenant' — the actual gate that decides whether a revenue-bond issuer can borrow more.</t>
  </si>
  <si>
    <t xml:space="preserve">Proposed New Issuance</t>
  </si>
  <si>
    <t xml:space="preserve">New par amount ($)</t>
  </si>
  <si>
    <t xml:space="preserve">Coupon rate on new bonds (%)</t>
  </si>
  <si>
    <t xml:space="preserve">Term of new bonds (years)</t>
  </si>
  <si>
    <t xml:space="preserve">New bond level annual debt service (P&amp;I)</t>
  </si>
  <si>
    <t xml:space="preserve">Assumes current-interest, level-debt-service structuring (the standard muni convention) — Excel's native PMT, not a capital-appreciation or non-level schedule.</t>
  </si>
  <si>
    <t xml:space="preserve">Existing Debt Service &amp; Net Revenue</t>
  </si>
  <si>
    <t xml:space="preserve">Existing senior debt service ($)</t>
  </si>
  <si>
    <t xml:space="preserve">Net revenue available for debt service ($)</t>
  </si>
  <si>
    <t xml:space="preserve">Historical (Look-Back) Test</t>
  </si>
  <si>
    <t xml:space="preserve">Pro-forma total senior debt service ($) = existing + new</t>
  </si>
  <si>
    <t xml:space="preserve">Pro-forma senior DSCR</t>
  </si>
  <si>
    <t xml:space="preserve">Headroom (pro-forma DSCR minus covenant)</t>
  </si>
  <si>
    <t xml:space="preserve">Historical test result</t>
  </si>
  <si>
    <t xml:space="preserve">Projected (Look-Forward) Test</t>
  </si>
  <si>
    <t xml:space="preserve">Active scenario (from Cover)</t>
  </si>
  <si>
    <t xml:space="preserve">Revenue growth rate — Base (%)</t>
  </si>
  <si>
    <t xml:space="preserve">Revenue growth rate — Stress (%)</t>
  </si>
  <si>
    <t xml:space="preserve">O&amp;M growth rate — Base (%)</t>
  </si>
  <si>
    <t xml:space="preserve">O&amp;M growth rate — Stress (%)</t>
  </si>
  <si>
    <t xml:space="preserve">Active revenue growth rate</t>
  </si>
  <si>
    <t xml:space="preserve">Active O&amp;M growth rate</t>
  </si>
  <si>
    <t xml:space="preserve">Year</t>
  </si>
  <si>
    <t xml:space="preserve">Gross Revenue</t>
  </si>
  <si>
    <t xml:space="preserve">O&amp;M</t>
  </si>
  <si>
    <t xml:space="preserve">Net Revenue</t>
  </si>
  <si>
    <t xml:space="preserve">Pro-forma Senior DS</t>
  </si>
  <si>
    <t xml:space="preserve">Pro-forma DSCR</t>
  </si>
  <si>
    <t xml:space="preserve">Pass/Fail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</si>
  <si>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</si>
  <si>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</si>
  <si>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</si>
  <si>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</si>
  <si>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</si>
  <si>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Minimum projected DSCR (5-yr window)</t>
  </si>
  <si>
    <t xml:space="preserve">Year of minimum</t>
  </si>
  <si>
    <t xml:space="preserve">Projected test result</t>
  </si>
  <si>
    <t xml:space="preserve">Indentures typically require passing the historical OR the projected test (not always both) before additional parity debt may be issued — confirm which applies for a specific issuer's indenture; see model_card.md.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</si>
  <si>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</si>
  <si>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</si>
  <si>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</si>
  <si>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</si>
  <si>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</si>
  <si>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Note</t>
  </si>
  <si>
    <t xml:space="preserve">IMF Debt Sustainability Analysis (DSA) framework</t>
  </si>
  <si>
    <t xml:space="preserve">Standard practice</t>
  </si>
  <si>
    <t xml:space="preserve">Public-domain IMF methodology, not issuer-specific</t>
  </si>
  <si>
    <t xml:space="preserve">Additional Bonds Test: historical + projected look-forward tests</t>
  </si>
  <si>
    <t xml:space="preserve">Typical municipal revenue-bond indenture additional-parity-debt covenant</t>
  </si>
  <si>
    <t xml:space="preserve">Actual indenture language varies by issuer; implements the common historical-or-projected pattern</t>
  </si>
  <si>
    <t xml:space="preserve">New-issuance level debt service (PMT amortization)</t>
  </si>
  <si>
    <t xml:space="preserve">Standard level-debt-service muni bond structuring convention</t>
  </si>
  <si>
    <t xml:space="preserve">Current-interest, level P&amp;I only — no capital-appreciation or non-level schedules</t>
  </si>
  <si>
    <t xml:space="preserve">ABT minimum senior DSCR covenant (1.25x default)</t>
  </si>
  <si>
    <t xml:space="preserve">[fill in — issuer's actual bond indenture]</t>
  </si>
  <si>
    <t xml:space="preserve">[fill in]</t>
  </si>
  <si>
    <t xml:space="preserve">Placeholder default; replace with the specific indenture's real covenant level before use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</si>
  <si>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</si>
  <si>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</si>
  <si>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</si>
  <si>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</si>
  <si>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</si>
  <si>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Net revenue ties: Gross revenue - O&amp;M = Net revenue</t>
  </si>
  <si>
    <t xml:space="preserve">0 (exact)</t>
  </si>
  <si>
    <t xml:space="preserve">Pro-forma Yr1 debt service ties: existing + new = pro forma</t>
  </si>
  <si>
    <t xml:space="preserve">New-bond PMT reproduces closed-form level-annuity payment</t>
  </si>
  <si>
    <t xml:space="preserve">~0 (native PMT matches closed-form annuity formula)</t>
  </si>
  <si>
    <t xml:space="preserve">DSA trajectory label matches sign of primary-balance gap</t>
  </si>
  <si>
    <t xml:space="preserve">TRUE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</si>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</sst>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0.00%;\(0.00%\);\-"/>
    <numFmt numFmtId="167" formatCode="\$#,##0;&quot;($&quot;#,##0\);\-"/>
    <numFmt numFmtId="168" formatCode="0.0\x"/>
    <numFmt numFmtId="169" formatCode="#,##0;\(#,##0\);\-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6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12</v>
      </c>
    </row>
    <row r="4" customFormat="false" ht="15" hidden="false" customHeight="false" outlineLevel="0" collapsed="false">
      <c r="B4" s="5" t="s">
        <v>13</v>
      </c>
    </row>
    <row r="5" customFormat="false" ht="15" hidden="false" customHeight="false" outlineLevel="0" collapsed="false">
      <c r="B5" s="6" t="s">
        <v>14</v>
      </c>
      <c r="C5" s="7" t="n">
        <v>0.6</v>
      </c>
    </row>
    <row r="6" customFormat="false" ht="15" hidden="false" customHeight="false" outlineLevel="0" collapsed="false">
      <c r="B6" s="6" t="s">
        <v>15</v>
      </c>
      <c r="C6" s="8" t="n">
        <v>0.05</v>
      </c>
    </row>
    <row r="7" customFormat="false" ht="15" hidden="false" customHeight="false" outlineLevel="0" collapsed="false">
      <c r="B7" s="6" t="s">
        <v>16</v>
      </c>
      <c r="C7" s="8" t="n">
        <v>0.02</v>
      </c>
    </row>
    <row r="8" customFormat="false" ht="15" hidden="false" customHeight="false" outlineLevel="0" collapsed="false">
      <c r="B8" s="6" t="s">
        <v>17</v>
      </c>
      <c r="C8" s="8" t="n">
        <v>0</v>
      </c>
    </row>
    <row r="10" customFormat="false" ht="15" hidden="false" customHeight="false" outlineLevel="0" collapsed="false">
      <c r="B10" s="5" t="s">
        <v>18</v>
      </c>
    </row>
    <row r="11" customFormat="false" ht="15" hidden="false" customHeight="false" outlineLevel="0" collapsed="false">
      <c r="B11" s="1" t="s">
        <v>19</v>
      </c>
      <c r="C11" s="9" t="n">
        <f aca="false">IFERROR((C6-C7)/(1+C7)*C5,"-")</f>
        <v>0.0176470588235294</v>
      </c>
      <c r="D11" s="10" t="s">
        <v>20</v>
      </c>
    </row>
    <row r="12" customFormat="false" ht="15" hidden="false" customHeight="false" outlineLevel="0" collapsed="false">
      <c r="B12" s="1" t="s">
        <v>21</v>
      </c>
      <c r="C12" s="11" t="n">
        <f aca="false">IFERROR(C8-C11,"-")</f>
        <v>-0.0176470588235294</v>
      </c>
      <c r="D12" s="10" t="s">
        <v>22</v>
      </c>
    </row>
    <row r="13" customFormat="false" ht="15" hidden="false" customHeight="false" outlineLevel="0" collapsed="false">
      <c r="B13" s="1" t="s">
        <v>23</v>
      </c>
      <c r="C13" s="3" t="str">
        <f aca="false">IFERROR(IF(C8&gt;=C11,"STABILIZING/FALLING","RISING"),"-")</f>
        <v>RISING</v>
      </c>
      <c r="D13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25</v>
      </c>
    </row>
    <row r="4" customFormat="false" ht="15" hidden="false" customHeight="false" outlineLevel="0" collapsed="false">
      <c r="B4" s="5" t="s">
        <v>13</v>
      </c>
    </row>
    <row r="5" customFormat="false" ht="15" hidden="false" customHeight="false" outlineLevel="0" collapsed="false">
      <c r="B5" s="6" t="s">
        <v>26</v>
      </c>
      <c r="C5" s="12" t="n">
        <v>0</v>
      </c>
    </row>
    <row r="6" customFormat="false" ht="15" hidden="false" customHeight="false" outlineLevel="0" collapsed="false">
      <c r="B6" s="6" t="s">
        <v>27</v>
      </c>
      <c r="C6" s="12" t="n">
        <v>0</v>
      </c>
    </row>
    <row r="7" customFormat="false" ht="15" hidden="false" customHeight="false" outlineLevel="0" collapsed="false">
      <c r="B7" s="6" t="s">
        <v>28</v>
      </c>
      <c r="C7" s="12" t="n">
        <v>0</v>
      </c>
    </row>
    <row r="8" customFormat="false" ht="15" hidden="false" customHeight="false" outlineLevel="0" collapsed="false">
      <c r="B8" s="6" t="s">
        <v>29</v>
      </c>
      <c r="C8" s="12" t="n">
        <v>0</v>
      </c>
    </row>
    <row r="10" customFormat="false" ht="15" hidden="false" customHeight="false" outlineLevel="0" collapsed="false">
      <c r="B10" s="5" t="s">
        <v>18</v>
      </c>
    </row>
    <row r="11" customFormat="false" ht="15" hidden="false" customHeight="false" outlineLevel="0" collapsed="false">
      <c r="B11" s="1" t="s">
        <v>30</v>
      </c>
      <c r="C11" s="13" t="n">
        <f aca="false">IFERROR(C5-C6,"-")</f>
        <v>0</v>
      </c>
    </row>
    <row r="12" customFormat="false" ht="15" hidden="false" customHeight="false" outlineLevel="0" collapsed="false">
      <c r="B12" s="1" t="s">
        <v>31</v>
      </c>
      <c r="C12" s="14" t="str">
        <f aca="false">IFERROR(C11/C7,"-")</f>
        <v>-</v>
      </c>
    </row>
    <row r="13" customFormat="false" ht="15" hidden="false" customHeight="false" outlineLevel="0" collapsed="false">
      <c r="B13" s="1" t="s">
        <v>32</v>
      </c>
      <c r="C13" s="14" t="str">
        <f aca="false">IFERROR(C11/(C7+C8),"-")</f>
        <v>-</v>
      </c>
    </row>
    <row r="15" customFormat="false" ht="15" hidden="false" customHeight="false" outlineLevel="0" collapsed="false">
      <c r="B15" s="5" t="s">
        <v>33</v>
      </c>
    </row>
    <row r="16" customFormat="false" ht="15" hidden="false" customHeight="false" outlineLevel="0" collapsed="false">
      <c r="B16" s="1" t="s">
        <v>34</v>
      </c>
      <c r="C16" s="15" t="n">
        <v>1.25</v>
      </c>
    </row>
    <row r="17" customFormat="false" ht="15" hidden="false" customHeight="false" outlineLevel="0" collapsed="false">
      <c r="B17" s="1" t="s">
        <v>35</v>
      </c>
      <c r="C17" s="16" t="str">
        <f aca="false">IFERROR(C12-C16,"-")</f>
        <v>-</v>
      </c>
    </row>
    <row r="18" customFormat="false" ht="15" hidden="false" customHeight="false" outlineLevel="0" collapsed="false">
      <c r="B18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</cols>
  <sheetData>
    <row r="2" customFormat="false" ht="19.7" hidden="false" customHeight="false" outlineLevel="0" collapsed="false">
      <c r="B2" s="2" t="s">
        <v>37</v>
      </c>
    </row>
    <row r="3" customFormat="false" ht="15" hidden="false" customHeight="false" outlineLevel="0" collapsed="false">
      <c r="B3" s="10" t="s">
        <v>38</v>
      </c>
    </row>
    <row r="5" customFormat="false" ht="15" hidden="false" customHeight="false" outlineLevel="0" collapsed="false">
      <c r="B5" s="5" t="s">
        <v>39</v>
      </c>
    </row>
    <row r="6" customFormat="false" ht="15" hidden="false" customHeight="false" outlineLevel="0" collapsed="false">
      <c r="B6" s="6" t="s">
        <v>40</v>
      </c>
      <c r="C6" s="12" t="n">
        <v>20000000</v>
      </c>
    </row>
    <row r="7" customFormat="false" ht="15" hidden="false" customHeight="false" outlineLevel="0" collapsed="false">
      <c r="B7" s="6" t="s">
        <v>41</v>
      </c>
      <c r="C7" s="8" t="n">
        <v>0.045</v>
      </c>
    </row>
    <row r="8" customFormat="false" ht="15" hidden="false" customHeight="false" outlineLevel="0" collapsed="false">
      <c r="B8" s="6" t="s">
        <v>42</v>
      </c>
      <c r="C8" s="17" t="n">
        <v>20</v>
      </c>
    </row>
    <row r="9" customFormat="false" ht="15" hidden="false" customHeight="false" outlineLevel="0" collapsed="false">
      <c r="B9" s="1" t="s">
        <v>43</v>
      </c>
      <c r="C9" s="18" t="n">
        <f aca="false">IFERROR(-PMT(C7,C8,C6),"-")</f>
        <v>1537522.88648096</v>
      </c>
      <c r="D9" s="10" t="s">
        <v>44</v>
      </c>
    </row>
    <row r="11" customFormat="false" ht="15" hidden="false" customHeight="false" outlineLevel="0" collapsed="false">
      <c r="B11" s="5" t="s">
        <v>45</v>
      </c>
    </row>
    <row r="12" customFormat="false" ht="15" hidden="false" customHeight="false" outlineLevel="0" collapsed="false">
      <c r="B12" s="1" t="s">
        <v>46</v>
      </c>
      <c r="C12" s="19" t="n">
        <f aca="false">'Revenue Bond Coverage'!C7</f>
        <v>0</v>
      </c>
    </row>
    <row r="13" customFormat="false" ht="15" hidden="false" customHeight="false" outlineLevel="0" collapsed="false">
      <c r="B13" s="1" t="s">
        <v>47</v>
      </c>
      <c r="C13" s="19" t="n">
        <f aca="false">'Revenue Bond Coverage'!C11</f>
        <v>0</v>
      </c>
    </row>
    <row r="14" customFormat="false" ht="15" hidden="false" customHeight="false" outlineLevel="0" collapsed="false">
      <c r="B14" s="1" t="s">
        <v>34</v>
      </c>
      <c r="C14" s="20" t="n">
        <f aca="false">'Revenue Bond Coverage'!C16</f>
        <v>1.25</v>
      </c>
    </row>
    <row r="16" customFormat="false" ht="15" hidden="false" customHeight="false" outlineLevel="0" collapsed="false">
      <c r="B16" s="5" t="s">
        <v>48</v>
      </c>
    </row>
    <row r="17" customFormat="false" ht="15" hidden="false" customHeight="false" outlineLevel="0" collapsed="false">
      <c r="B17" s="1" t="s">
        <v>49</v>
      </c>
      <c r="C17" s="13" t="n">
        <f aca="false">C12+C9</f>
        <v>1537522.88648096</v>
      </c>
    </row>
    <row r="18" customFormat="false" ht="15" hidden="false" customHeight="false" outlineLevel="0" collapsed="false">
      <c r="B18" s="1" t="s">
        <v>50</v>
      </c>
      <c r="C18" s="14" t="n">
        <f aca="false">IFERROR(C13/C17,"-")</f>
        <v>0</v>
      </c>
    </row>
    <row r="19" customFormat="false" ht="15" hidden="false" customHeight="false" outlineLevel="0" collapsed="false">
      <c r="B19" s="1" t="s">
        <v>51</v>
      </c>
      <c r="C19" s="16" t="n">
        <f aca="false">IFERROR(C18-C14,"-")</f>
        <v>-1.25</v>
      </c>
    </row>
    <row r="20" customFormat="false" ht="15" hidden="false" customHeight="false" outlineLevel="0" collapsed="false">
      <c r="B20" s="1" t="s">
        <v>52</v>
      </c>
      <c r="C20" s="3" t="str">
        <f aca="false">IF(NOT(ISNUMBER(C18)),"-",IF(C18&gt;=C14,"PASS","FAIL"))</f>
        <v>FAIL</v>
      </c>
    </row>
    <row r="22" customFormat="false" ht="15" hidden="false" customHeight="false" outlineLevel="0" collapsed="false">
      <c r="B22" s="5" t="s">
        <v>53</v>
      </c>
    </row>
    <row r="23" customFormat="false" ht="15" hidden="false" customHeight="false" outlineLevel="0" collapsed="false">
      <c r="B23" s="1" t="s">
        <v>54</v>
      </c>
      <c r="C23" s="21" t="str">
        <f aca="false">Cover!C9</f>
        <v>Base</v>
      </c>
    </row>
    <row r="24" customFormat="false" ht="15" hidden="false" customHeight="false" outlineLevel="0" collapsed="false">
      <c r="B24" s="6" t="s">
        <v>55</v>
      </c>
      <c r="C24" s="8" t="n">
        <v>0.03</v>
      </c>
    </row>
    <row r="25" customFormat="false" ht="15" hidden="false" customHeight="false" outlineLevel="0" collapsed="false">
      <c r="B25" s="6" t="s">
        <v>56</v>
      </c>
      <c r="C25" s="8" t="n">
        <v>-0.02</v>
      </c>
    </row>
    <row r="26" customFormat="false" ht="15" hidden="false" customHeight="false" outlineLevel="0" collapsed="false">
      <c r="B26" s="6" t="s">
        <v>57</v>
      </c>
      <c r="C26" s="8" t="n">
        <v>0.025</v>
      </c>
    </row>
    <row r="27" customFormat="false" ht="15" hidden="false" customHeight="false" outlineLevel="0" collapsed="false">
      <c r="B27" s="6" t="s">
        <v>58</v>
      </c>
      <c r="C27" s="8" t="n">
        <v>0.05</v>
      </c>
    </row>
    <row r="28" customFormat="false" ht="15" hidden="false" customHeight="false" outlineLevel="0" collapsed="false">
      <c r="B28" s="1" t="s">
        <v>59</v>
      </c>
      <c r="C28" s="9" t="n">
        <f aca="false">IF(Cover!$C$9="Stress",C25,C24)</f>
        <v>0.03</v>
      </c>
    </row>
    <row r="29" customFormat="false" ht="15" hidden="false" customHeight="false" outlineLevel="0" collapsed="false">
      <c r="B29" s="1" t="s">
        <v>60</v>
      </c>
      <c r="C29" s="9" t="n">
        <f aca="false">IF(Cover!$C$9="Stress",C27,C26)</f>
        <v>0.025</v>
      </c>
    </row>
    <row r="31" customFormat="false" ht="15" hidden="false" customHeight="false" outlineLevel="0" collapsed="false">
      <c r="B31" s="22" t="s">
        <v>61</v>
      </c>
      <c r="C31" s="22" t="s">
        <v>62</v>
      </c>
      <c r="D31" s="22" t="s">
        <v>63</v>
      </c>
      <c r="E31" s="22" t="s">
        <v>64</v>
      </c>
      <c r="F31" s="22" t="s">
        <v>65</v>
      </c>
      <c r="G31" s="22" t="s">
        <v>66</v>
      </c>
      <c r="H31" s="22" t="s">
        <v>67</v>
      </c>
    </row>
    <row r="32" customFormat="false" ht="15" hidden="false" customHeight="false" outlineLevel="0" collapsed="false">
      <c r="B32" s="3" t="s">
        <v>68</v>
      </c>
      <c r="C32" s="13" t="n">
        <f aca="false">'Revenue Bond Coverage'!$C$5*(1+$C$28)</f>
        <v>0</v>
      </c>
      <c r="D32" s="13" t="n">
        <f aca="false">'Revenue Bond Coverage'!$C$6*(1+$C$29)</f>
        <v>0</v>
      </c>
      <c r="E32" s="13" t="n">
        <f aca="false">C32-D32</f>
        <v>0</v>
      </c>
      <c r="F32" s="13" t="n">
        <f aca="false">$C$17</f>
        <v>1537522.88648096</v>
      </c>
      <c r="G32" s="14" t="n">
        <f aca="false">IFERROR(E32/F32,"-")</f>
        <v>0</v>
      </c>
      <c r="H32" s="23" t="str">
        <f aca="false">IF(G32&gt;=$C$14,"PASS","FAIL")</f>
        <v>FAIL</v>
      </c>
    </row>
    <row r="33" customFormat="false" ht="15" hidden="false" customHeight="false" outlineLevel="0" collapsed="false">
      <c r="B33" s="3" t="s">
        <v>69</v>
      </c>
      <c r="C33" s="13" t="n">
        <f aca="false">C32*(1+$C$28)</f>
        <v>0</v>
      </c>
      <c r="D33" s="13" t="n">
        <f aca="false">D32*(1+$C$29)</f>
        <v>0</v>
      </c>
      <c r="E33" s="13" t="n">
        <f aca="false">C33-D33</f>
        <v>0</v>
      </c>
      <c r="F33" s="13" t="n">
        <f aca="false">$C$17</f>
        <v>1537522.88648096</v>
      </c>
      <c r="G33" s="14" t="n">
        <f aca="false">IFERROR(E33/F33,"-")</f>
        <v>0</v>
      </c>
      <c r="H33" s="23" t="str">
        <f aca="false">IF(G33&gt;=$C$14,"PASS","FAIL")</f>
        <v>FAIL</v>
      </c>
    </row>
    <row r="34" customFormat="false" ht="15" hidden="false" customHeight="false" outlineLevel="0" collapsed="false">
      <c r="B34" s="3" t="s">
        <v>70</v>
      </c>
      <c r="C34" s="13" t="n">
        <f aca="false">C33*(1+$C$28)</f>
        <v>0</v>
      </c>
      <c r="D34" s="13" t="n">
        <f aca="false">D33*(1+$C$29)</f>
        <v>0</v>
      </c>
      <c r="E34" s="13" t="n">
        <f aca="false">C34-D34</f>
        <v>0</v>
      </c>
      <c r="F34" s="13" t="n">
        <f aca="false">$C$17</f>
        <v>1537522.88648096</v>
      </c>
      <c r="G34" s="14" t="n">
        <f aca="false">IFERROR(E34/F34,"-")</f>
        <v>0</v>
      </c>
      <c r="H34" s="23" t="str">
        <f aca="false">IF(G34&gt;=$C$14,"PASS","FAIL")</f>
        <v>FAIL</v>
      </c>
    </row>
    <row r="35" customFormat="false" ht="15" hidden="false" customHeight="false" outlineLevel="0" collapsed="false">
      <c r="B35" s="3" t="s">
        <v>71</v>
      </c>
      <c r="C35" s="13" t="n">
        <f aca="false">C34*(1+$C$28)</f>
        <v>0</v>
      </c>
      <c r="D35" s="13" t="n">
        <f aca="false">D34*(1+$C$29)</f>
        <v>0</v>
      </c>
      <c r="E35" s="13" t="n">
        <f aca="false">C35-D35</f>
        <v>0</v>
      </c>
      <c r="F35" s="13" t="n">
        <f aca="false">$C$17</f>
        <v>1537522.88648096</v>
      </c>
      <c r="G35" s="14" t="n">
        <f aca="false">IFERROR(E35/F35,"-")</f>
        <v>0</v>
      </c>
      <c r="H35" s="23" t="str">
        <f aca="false">IF(G35&gt;=$C$14,"PASS","FAIL")</f>
        <v>FAIL</v>
      </c>
    </row>
    <row r="36" customFormat="false" ht="15" hidden="false" customHeight="false" outlineLevel="0" collapsed="false">
      <c r="B36" s="3" t="s">
        <v>72</v>
      </c>
      <c r="C36" s="13" t="n">
        <f aca="false">C35*(1+$C$28)</f>
        <v>0</v>
      </c>
      <c r="D36" s="13" t="n">
        <f aca="false">D35*(1+$C$29)</f>
        <v>0</v>
      </c>
      <c r="E36" s="13" t="n">
        <f aca="false">C36-D36</f>
        <v>0</v>
      </c>
      <c r="F36" s="13" t="n">
        <f aca="false">$C$17</f>
        <v>1537522.88648096</v>
      </c>
      <c r="G36" s="14" t="n">
        <f aca="false">IFERROR(E36/F36,"-")</f>
        <v>0</v>
      </c>
      <c r="H36" s="23" t="str">
        <f aca="false">IF(G36&gt;=$C$14,"PASS","FAIL")</f>
        <v>FAIL</v>
      </c>
    </row>
    <row r="38" customFormat="false" ht="15" hidden="false" customHeight="false" outlineLevel="0" collapsed="false">
      <c r="B38" s="1" t="s">
        <v>73</v>
      </c>
      <c r="C38" s="14" t="n">
        <f aca="false">MIN(G32:G36)</f>
        <v>0</v>
      </c>
    </row>
    <row r="39" customFormat="false" ht="15" hidden="false" customHeight="false" outlineLevel="0" collapsed="false">
      <c r="B39" s="1" t="s">
        <v>74</v>
      </c>
      <c r="C39" s="23" t="str">
        <f aca="false">INDEX(B32:B36,MATCH(C38,G32:G36,0))</f>
        <v>Year 1</v>
      </c>
    </row>
    <row r="40" customFormat="false" ht="15" hidden="false" customHeight="false" outlineLevel="0" collapsed="false">
      <c r="B40" s="1" t="s">
        <v>75</v>
      </c>
      <c r="C40" s="3" t="str">
        <f aca="false">IF(C38&gt;=C14,"PASS — all 5 years clear covenant","FAIL — covenant breached in "&amp;C39)</f>
        <v>FAIL — covenant breached in Year 1</v>
      </c>
    </row>
    <row r="42" customFormat="false" ht="15" hidden="false" customHeight="false" outlineLevel="0" collapsed="false">
      <c r="B42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77</v>
      </c>
    </row>
    <row r="3" customFormat="false" ht="15" hidden="false" customHeight="false" outlineLevel="0" collapsed="false">
      <c r="B3" s="10" t="s">
        <v>78</v>
      </c>
    </row>
    <row r="5" customFormat="false" ht="15" hidden="false" customHeight="false" outlineLevel="0" collapsed="false">
      <c r="B5" s="22" t="s">
        <v>79</v>
      </c>
      <c r="C5" s="22" t="s">
        <v>80</v>
      </c>
      <c r="D5" s="22" t="s">
        <v>81</v>
      </c>
      <c r="E5" s="22" t="s">
        <v>82</v>
      </c>
    </row>
    <row r="6" customFormat="false" ht="15" hidden="false" customHeight="false" outlineLevel="0" collapsed="false">
      <c r="B6" s="24" t="s">
        <v>19</v>
      </c>
      <c r="C6" s="24" t="s">
        <v>83</v>
      </c>
      <c r="D6" s="24" t="s">
        <v>84</v>
      </c>
      <c r="E6" s="25" t="s">
        <v>85</v>
      </c>
    </row>
    <row r="7" customFormat="false" ht="15" hidden="false" customHeight="false" outlineLevel="0" collapsed="false">
      <c r="B7" s="24" t="s">
        <v>86</v>
      </c>
      <c r="C7" s="24" t="s">
        <v>87</v>
      </c>
      <c r="D7" s="24" t="s">
        <v>84</v>
      </c>
      <c r="E7" s="25" t="s">
        <v>88</v>
      </c>
    </row>
    <row r="8" customFormat="false" ht="15" hidden="false" customHeight="false" outlineLevel="0" collapsed="false">
      <c r="B8" s="24" t="s">
        <v>89</v>
      </c>
      <c r="C8" s="24" t="s">
        <v>90</v>
      </c>
      <c r="D8" s="24" t="s">
        <v>84</v>
      </c>
      <c r="E8" s="25" t="s">
        <v>91</v>
      </c>
    </row>
    <row r="9" customFormat="false" ht="15" hidden="false" customHeight="false" outlineLevel="0" collapsed="false">
      <c r="B9" s="24" t="s">
        <v>92</v>
      </c>
      <c r="C9" s="24" t="s">
        <v>93</v>
      </c>
      <c r="D9" s="24" t="s">
        <v>94</v>
      </c>
      <c r="E9" s="2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96</v>
      </c>
    </row>
    <row r="3" customFormat="false" ht="15" hidden="false" customHeight="false" outlineLevel="0" collapsed="false">
      <c r="B3" s="10" t="s">
        <v>97</v>
      </c>
    </row>
    <row r="5" customFormat="false" ht="15" hidden="false" customHeight="false" outlineLevel="0" collapsed="false">
      <c r="B5" s="22" t="s">
        <v>98</v>
      </c>
      <c r="C5" s="22" t="s">
        <v>99</v>
      </c>
      <c r="D5" s="22" t="s">
        <v>100</v>
      </c>
    </row>
    <row r="6" customFormat="false" ht="15" hidden="false" customHeight="false" outlineLevel="0" collapsed="false">
      <c r="B6" s="24" t="s">
        <v>101</v>
      </c>
      <c r="C6" s="26" t="n">
        <f aca="false">'Revenue Bond Coverage'!C11-('Revenue Bond Coverage'!C5-'Revenue Bond Coverage'!C6)</f>
        <v>0</v>
      </c>
      <c r="D6" s="25" t="s">
        <v>102</v>
      </c>
    </row>
    <row r="7" customFormat="false" ht="15" hidden="false" customHeight="false" outlineLevel="0" collapsed="false">
      <c r="B7" s="24" t="s">
        <v>103</v>
      </c>
      <c r="C7" s="26" t="n">
        <f aca="false">'Additional Bonds Test'!C17-('Additional Bonds Test'!C12+'Additional Bonds Test'!C9)</f>
        <v>0</v>
      </c>
      <c r="D7" s="25" t="s">
        <v>102</v>
      </c>
    </row>
    <row r="8" customFormat="false" ht="15" hidden="false" customHeight="false" outlineLevel="0" collapsed="false">
      <c r="B8" s="24" t="s">
        <v>104</v>
      </c>
      <c r="C8" s="26" t="n">
        <f aca="false">'Additional Bonds Test'!C9-('Additional Bonds Test'!C6*'Additional Bonds Test'!C7/(1-(1+'Additional Bonds Test'!C7)^-'Additional Bonds Test'!C8))</f>
        <v>0</v>
      </c>
      <c r="D8" s="25" t="s">
        <v>105</v>
      </c>
    </row>
    <row r="9" customFormat="false" ht="15" hidden="false" customHeight="false" outlineLevel="0" collapsed="false">
      <c r="B9" s="24" t="s">
        <v>106</v>
      </c>
      <c r="C9" s="26" t="b">
        <f aca="false">IF('Debt Sustainability'!C12&gt;=0,"STABILIZING/FALLING","RISING")='Debt Sustainability'!C13</f>
        <v>1</v>
      </c>
      <c r="D9" s="2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108</v>
      </c>
    </row>
    <row r="4" customFormat="false" ht="15" hidden="false" customHeight="false" outlineLevel="0" collapsed="false">
      <c r="B4" s="22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</row>
    <row r="5" customFormat="false" ht="15" hidden="false" customHeight="false" outlineLevel="0" collapsed="false">
      <c r="B5" s="23"/>
      <c r="C5" s="23"/>
      <c r="D5" s="23"/>
      <c r="E5" s="23"/>
      <c r="F5" s="23"/>
    </row>
    <row r="6" customFormat="false" ht="15" hidden="false" customHeight="false" outlineLevel="0" collapsed="false">
      <c r="B6" s="23"/>
      <c r="C6" s="23"/>
      <c r="D6" s="23"/>
      <c r="E6" s="23"/>
      <c r="F6" s="23"/>
    </row>
    <row r="7" customFormat="false" ht="15" hidden="false" customHeight="false" outlineLevel="0" collapsed="false">
      <c r="B7" s="23"/>
      <c r="C7" s="23"/>
      <c r="D7" s="23"/>
      <c r="E7" s="23"/>
      <c r="F7" s="23"/>
    </row>
    <row r="8" customFormat="false" ht="15" hidden="false" customHeight="false" outlineLevel="0" collapsed="false">
      <c r="B8" s="23"/>
      <c r="C8" s="23"/>
      <c r="D8" s="23"/>
      <c r="E8" s="23"/>
      <c r="F8" s="23"/>
    </row>
    <row r="9" customFormat="false" ht="15" hidden="false" customHeight="false" outlineLevel="0" collapsed="false">
      <c r="B9" s="23"/>
      <c r="C9" s="23"/>
      <c r="D9" s="23"/>
      <c r="E9" s="23"/>
      <c r="F9" s="23"/>
    </row>
    <row r="10" customFormat="false" ht="15" hidden="false" customHeight="false" outlineLevel="0" collapsed="false">
      <c r="B10" s="23"/>
      <c r="C10" s="23"/>
      <c r="D10" s="23"/>
      <c r="E10" s="23"/>
      <c r="F10" s="23"/>
    </row>
    <row r="11" customFormat="false" ht="15" hidden="false" customHeight="false" outlineLevel="0" collapsed="false">
      <c r="B11" s="23"/>
      <c r="C11" s="23"/>
      <c r="D11" s="23"/>
      <c r="E11" s="23"/>
      <c r="F11" s="23"/>
    </row>
    <row r="12" customFormat="false" ht="15" hidden="false" customHeight="false" outlineLevel="0" collapsed="false">
      <c r="B12" s="23"/>
      <c r="C12" s="23"/>
      <c r="D12" s="23"/>
      <c r="E12" s="23"/>
      <c r="F12" s="23"/>
    </row>
    <row r="13" customFormat="false" ht="15" hidden="false" customHeight="false" outlineLevel="0" collapsed="false">
      <c r="B13" s="23"/>
      <c r="C13" s="23"/>
      <c r="D13" s="23"/>
      <c r="E13" s="23"/>
      <c r="F13" s="23"/>
    </row>
    <row r="14" customFormat="false" ht="15" hidden="false" customHeight="false" outlineLevel="0" collapsed="false">
      <c r="B14" s="23"/>
      <c r="C14" s="23"/>
      <c r="D14" s="23"/>
      <c r="E14" s="23"/>
      <c r="F1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2026-08-04T13:33:22Z</dcterms:created>
  <dc:creator>openpyxl</dc:creator>
  <dc:description/>
  <dc:language>en-US</dc:language>
  <cp:lastModifiedBy/>
  <dcterms:modified xsi:type="dcterms:W3CDTF">2026-08-04T13:33:22Z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