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ond Pricing" sheetId="2" state="visible" r:id="rId4"/>
    <sheet name="Duration &amp; Convexity" sheetId="3" state="visible" r:id="rId5"/>
    <sheet name="Yield Curve" sheetId="4" state="visible" r:id="rId6"/>
    <sheet name="Total Return Scenarios" sheetId="5" state="visible" r:id="rId7"/>
    <sheet name="Accrued Interest &amp; Settlement" sheetId="6" state="visible" r:id="rId8"/>
    <sheet name="Refresh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<sst xmlns="http://schemas.openxmlformats.org/spreadsheetml/2006/main" count="68" uniqueCount="67">
  <si>
    <t xml:space="preserve">[BOND/CURVE] — Fixed Income Model</t>
  </si>
  <si>
    <t xml:space="preserve">Instrument:</t>
  </si>
  <si>
    <t xml:space="preserve">[fill in]</t>
  </si>
  <si>
    <t xml:space="preserve">Issuer / sector:</t>
  </si>
  <si>
    <t xml:space="preserve">Last refreshed:</t>
  </si>
  <si>
    <t xml:space="preserve">[date]</t>
  </si>
  <si>
    <t xml:space="preserve">Refresh cadence:</t>
  </si>
  <si>
    <t xml:space="preserve">Weekly</t>
  </si>
  <si>
    <t xml:space="preserve">Bond Pricing</t>
  </si>
  <si>
    <t xml:space="preserve">Face value ($)</t>
  </si>
  <si>
    <t xml:space="preserve">Coupon rate (annual, %)</t>
  </si>
  <si>
    <t xml:space="preserve">Coupon frequency (payments/yr)</t>
  </si>
  <si>
    <t xml:space="preserve">Years to maturity</t>
  </si>
  <si>
    <t xml:space="preserve">Yield to maturity (annual, %)</t>
  </si>
  <si>
    <t xml:space="preserve">Price (using PV formula)</t>
  </si>
  <si>
    <t xml:space="preserve">PV(YTM per period, n periods, coupon per period, face value)</t>
  </si>
  <si>
    <t xml:space="preserve">Price as % of par</t>
  </si>
  <si>
    <t xml:space="preserve">Current yield (annual coupon / price)</t>
  </si>
  <si>
    <t xml:space="preserve">Duration &amp; Convexity</t>
  </si>
  <si>
    <t xml:space="preserve">Modified duration (approx., via price shock)</t>
  </si>
  <si>
    <t xml:space="preserve">Yield shock (bp) for numerical estimate</t>
  </si>
  <si>
    <t xml:space="preserve">Price at YTM - shock</t>
  </si>
  <si>
    <t xml:space="preserve">Price at YTM + shock</t>
  </si>
  <si>
    <t xml:space="preserve">Modified duration = (P- - P+) / (2 x P0 x shock in decimal)</t>
  </si>
  <si>
    <t xml:space="preserve">Convexity = (P- + P+ - 2xP0) / (P0 x shock^2)</t>
  </si>
  <si>
    <t xml:space="preserve">Est. price change for 100bp move (duration + convexity)</t>
  </si>
  <si>
    <t xml:space="preserve">Yield Curve &amp; Spread Analysis</t>
  </si>
  <si>
    <t xml:space="preserve">Tenor</t>
  </si>
  <si>
    <t xml:space="preserve">Benchmark yield</t>
  </si>
  <si>
    <t xml:space="preserve">Instrument spread (bp)</t>
  </si>
  <si>
    <t xml:space="preserve">All-in yield</t>
  </si>
  <si>
    <t xml:space="preserve">3M</t>
  </si>
  <si>
    <t xml:space="preserve">2Y</t>
  </si>
  <si>
    <t xml:space="preserve">5Y</t>
  </si>
  <si>
    <t xml:space="preserve">10Y</t>
  </si>
  <si>
    <t xml:space="preserve">30Y</t>
  </si>
  <si>
    <t xml:space="preserve">2s10s spread (bp)</t>
  </si>
  <si>
    <t xml:space="preserve">Negative = inverted curve</t>
  </si>
  <si>
    <t xml:space="preserve">1-Year Total Return Under Rate Shocks</t>
  </si>
  <si>
    <t xml:space="preserve">Uses duration/convexity from the Duration &amp; Convexity tab plus current yield as the income component — same approximation as that tab's single 100bp estimate, extended across a scenario grid.</t>
  </si>
  <si>
    <t xml:space="preserve">Parallel shift (bp)</t>
  </si>
  <si>
    <t xml:space="preserve">Price return (duration + convexity)</t>
  </si>
  <si>
    <t xml:space="preserve">Income return (current yield)</t>
  </si>
  <si>
    <t xml:space="preserve">Total return</t>
  </si>
  <si>
    <t xml:space="preserve">Accrued Interest &amp; Clean/Dirty Price</t>
  </si>
  <si>
    <t xml:space="preserve">Inputs</t>
  </si>
  <si>
    <t xml:space="preserve">Day-count convention (30/360 or Actual/Actual)</t>
  </si>
  <si>
    <t xml:space="preserve">30/360</t>
  </si>
  <si>
    <t xml:space="preserve">Last coupon date</t>
  </si>
  <si>
    <t xml:space="preserve">Next coupon date</t>
  </si>
  <si>
    <t xml:space="preserve">Settlement date</t>
  </si>
  <si>
    <t xml:space="preserve">Day Count</t>
  </si>
  <si>
    <t xml:space="preserve">Days accrued (last coupon -&gt; settlement)</t>
  </si>
  <si>
    <t xml:space="preserve">Days in full coupon period (last coupon -&gt; next coupon)</t>
  </si>
  <si>
    <t xml:space="preserve">Accrual fraction of the period</t>
  </si>
  <si>
    <t xml:space="preserve">Accrued Interest &amp; Invoice Price</t>
  </si>
  <si>
    <t xml:space="preserve">Periodic coupon (from Bond Pricing)</t>
  </si>
  <si>
    <t xml:space="preserve">Accrued interest</t>
  </si>
  <si>
    <t xml:space="preserve">Clean price (from Bond Pricing — quoted market price)</t>
  </si>
  <si>
    <t xml:space="preserve">Dirty / invoice price (clean + accrued — what the buyer actually pays)</t>
  </si>
  <si>
    <t xml:space="preserve">This is the number that actually settles — quoting only the clean price is a market convention, not the real cash flow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</si>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</sst>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\$#,##0.00;&quot;($&quot;#,##0.00\);\-"/>
    <numFmt numFmtId="169" formatCode="0.00%;\(0.00%\);\-"/>
    <numFmt numFmtId="170" formatCode="0"/>
    <numFmt numFmtId="171" formatCode="0.00"/>
    <numFmt numFmtId="172" formatCode="\+0;\-0"/>
    <numFmt numFmtId="173" formatCode="yyyy\-mm\-dd"/>
    <numFmt numFmtId="174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2</v>
      </c>
    </row>
    <row r="6" customFormat="false" ht="1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8</v>
      </c>
    </row>
    <row r="5" customFormat="false" ht="15" hidden="false" customHeight="false" outlineLevel="0" collapsed="false">
      <c r="B5" s="5" t="s">
        <v>9</v>
      </c>
      <c r="C5" s="6" t="n">
        <v>1000</v>
      </c>
    </row>
    <row r="6" customFormat="false" ht="15" hidden="false" customHeight="false" outlineLevel="0" collapsed="false">
      <c r="B6" s="5" t="s">
        <v>10</v>
      </c>
      <c r="C6" s="7" t="n">
        <v>0.05</v>
      </c>
    </row>
    <row r="7" customFormat="false" ht="15" hidden="false" customHeight="false" outlineLevel="0" collapsed="false">
      <c r="B7" s="5" t="s">
        <v>11</v>
      </c>
      <c r="C7" s="8" t="n">
        <v>2</v>
      </c>
    </row>
    <row r="8" customFormat="false" ht="15" hidden="false" customHeight="false" outlineLevel="0" collapsed="false">
      <c r="B8" s="5" t="s">
        <v>12</v>
      </c>
      <c r="C8" s="8" t="n">
        <v>10</v>
      </c>
    </row>
    <row r="9" customFormat="false" ht="15" hidden="false" customHeight="false" outlineLevel="0" collapsed="false">
      <c r="B9" s="5" t="s">
        <v>13</v>
      </c>
      <c r="C9" s="7" t="n">
        <v>0.055</v>
      </c>
    </row>
    <row r="11" customFormat="false" ht="15" hidden="false" customHeight="false" outlineLevel="0" collapsed="false">
      <c r="B11" s="1" t="s">
        <v>14</v>
      </c>
      <c r="C11" s="9" t="n">
        <f aca="false">-PV(C9/C7,C7*C8,C5*C6/C7,C5)</f>
        <v>961.931869665561</v>
      </c>
      <c r="D11" s="10" t="s">
        <v>15</v>
      </c>
    </row>
    <row r="12" customFormat="false" ht="15" hidden="false" customHeight="false" outlineLevel="0" collapsed="false">
      <c r="B12" s="1" t="s">
        <v>16</v>
      </c>
      <c r="C12" s="11" t="n">
        <f aca="false">IFERROR(C11/C5,"-")</f>
        <v>0.961931869665561</v>
      </c>
    </row>
    <row r="13" customFormat="false" ht="15" hidden="false" customHeight="false" outlineLevel="0" collapsed="false">
      <c r="B13" s="1" t="s">
        <v>17</v>
      </c>
      <c r="C13" s="11" t="n">
        <f aca="false">IFERROR(C5*C6/C11,"-")</f>
        <v>0.0519787331896839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18</v>
      </c>
    </row>
    <row r="4" customFormat="false" ht="15" hidden="false" customHeight="false" outlineLevel="0" collapsed="false">
      <c r="B4" s="12" t="s">
        <v>19</v>
      </c>
    </row>
    <row r="5" customFormat="false" ht="15" hidden="false" customHeight="false" outlineLevel="0" collapsed="false">
      <c r="B5" s="1" t="s">
        <v>20</v>
      </c>
      <c r="C5" s="13" t="n">
        <v>50</v>
      </c>
    </row>
    <row r="6" customFormat="false" ht="15" hidden="false" customHeight="false" outlineLevel="0" collapsed="false">
      <c r="B6" s="1" t="s">
        <v>21</v>
      </c>
      <c r="C6" s="14" t="n">
        <f aca="false">-PV(('Bond Pricing'!C9-C5/10000)/'Bond Pricing'!C7,'Bond Pricing'!C7*'Bond Pricing'!C8,'Bond Pricing'!C5*'Bond Pricing'!C6/'Bond Pricing'!C7,'Bond Pricing'!C5)</f>
        <v>1000</v>
      </c>
    </row>
    <row r="7" customFormat="false" ht="15" hidden="false" customHeight="false" outlineLevel="0" collapsed="false">
      <c r="B7" s="1" t="s">
        <v>22</v>
      </c>
      <c r="C7" s="14" t="n">
        <f aca="false">-PV(('Bond Pricing'!C9+C5/10000)/'Bond Pricing'!C7,'Bond Pricing'!C7*'Bond Pricing'!C8,'Bond Pricing'!C5*'Bond Pricing'!C6/'Bond Pricing'!C7,'Bond Pricing'!C5)</f>
        <v>925.612625697723</v>
      </c>
    </row>
    <row r="8" customFormat="false" ht="15" hidden="false" customHeight="false" outlineLevel="0" collapsed="false">
      <c r="B8" s="1" t="s">
        <v>23</v>
      </c>
      <c r="C8" s="15" t="n">
        <f aca="false">IFERROR((C6-C7)/(2*'Bond Pricing'!C11*(C5/10000)),"-")</f>
        <v>7.73312296307847</v>
      </c>
    </row>
    <row r="9" customFormat="false" ht="15" hidden="false" customHeight="false" outlineLevel="0" collapsed="false">
      <c r="B9" s="1" t="s">
        <v>24</v>
      </c>
      <c r="C9" s="16" t="n">
        <f aca="false">IFERROR((C6+C7-2*'Bond Pricing'!C11)/('Bond Pricing'!C11*(C5/10000)^2),"-")</f>
        <v>72.7239182628855</v>
      </c>
    </row>
    <row r="10" customFormat="false" ht="15" hidden="false" customHeight="false" outlineLevel="0" collapsed="false">
      <c r="B10" s="1" t="s">
        <v>25</v>
      </c>
      <c r="C10" s="11" t="n">
        <f aca="false">IFERROR(-C8*0.01+0.5*C9*0.01^2,"-")</f>
        <v>-0.0736950337176404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4" min="2" style="1" width="14"/>
    <col collapsed="false" customWidth="true" hidden="false" outlineLevel="0" max="5" min="5" style="1" width="40"/>
  </cols>
  <sheetData>
    <row r="2" customFormat="false" ht="19.7" hidden="false" customHeight="false" outlineLevel="0" collapsed="false">
      <c r="B2" s="2" t="s">
        <v>26</v>
      </c>
    </row>
    <row r="4" customFormat="false" ht="15" hidden="false" customHeight="false" outlineLevel="0" collapsed="false">
      <c r="A4" s="17"/>
      <c r="B4" s="17" t="s">
        <v>27</v>
      </c>
      <c r="C4" s="17" t="s">
        <v>28</v>
      </c>
      <c r="D4" s="17" t="s">
        <v>29</v>
      </c>
      <c r="E4" s="18" t="s">
        <v>30</v>
      </c>
    </row>
    <row r="5" customFormat="false" ht="15" hidden="false" customHeight="false" outlineLevel="0" collapsed="false">
      <c r="B5" s="5" t="s">
        <v>31</v>
      </c>
      <c r="C5" s="19" t="n">
        <v>0</v>
      </c>
      <c r="D5" s="20" t="n">
        <v>0</v>
      </c>
      <c r="E5" s="11" t="n">
        <f aca="false">C5+D5/10000</f>
        <v>0</v>
      </c>
    </row>
    <row r="6" customFormat="false" ht="15" hidden="false" customHeight="false" outlineLevel="0" collapsed="false">
      <c r="B6" s="5" t="s">
        <v>32</v>
      </c>
      <c r="C6" s="19" t="n">
        <v>0</v>
      </c>
      <c r="D6" s="20" t="n">
        <v>0</v>
      </c>
      <c r="E6" s="11" t="n">
        <f aca="false">C6+D6/10000</f>
        <v>0</v>
      </c>
    </row>
    <row r="7" customFormat="false" ht="15" hidden="false" customHeight="false" outlineLevel="0" collapsed="false">
      <c r="B7" s="5" t="s">
        <v>33</v>
      </c>
      <c r="C7" s="19" t="n">
        <v>0</v>
      </c>
      <c r="D7" s="20" t="n">
        <v>0</v>
      </c>
      <c r="E7" s="11" t="n">
        <f aca="false">C7+D7/10000</f>
        <v>0</v>
      </c>
    </row>
    <row r="8" customFormat="false" ht="15" hidden="false" customHeight="false" outlineLevel="0" collapsed="false">
      <c r="B8" s="5" t="s">
        <v>34</v>
      </c>
      <c r="C8" s="19" t="n">
        <v>0</v>
      </c>
      <c r="D8" s="20" t="n">
        <v>0</v>
      </c>
      <c r="E8" s="11" t="n">
        <f aca="false">C8+D8/10000</f>
        <v>0</v>
      </c>
    </row>
    <row r="9" customFormat="false" ht="15" hidden="false" customHeight="false" outlineLevel="0" collapsed="false">
      <c r="B9" s="5" t="s">
        <v>35</v>
      </c>
      <c r="C9" s="19" t="n">
        <v>0</v>
      </c>
      <c r="D9" s="20" t="n">
        <v>0</v>
      </c>
      <c r="E9" s="11" t="n">
        <f aca="false">C9+D9/10000</f>
        <v>0</v>
      </c>
    </row>
    <row r="11" customFormat="false" ht="15" hidden="false" customHeight="false" outlineLevel="0" collapsed="false">
      <c r="B11" s="1" t="s">
        <v>36</v>
      </c>
      <c r="C11" s="21" t="n">
        <f aca="false">(C7-C6)*10000</f>
        <v>0</v>
      </c>
      <c r="D11" s="1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9" min="3" style="1" width="12"/>
    <col collapsed="false" customWidth="true" hidden="false" outlineLevel="0" max="10" min="10" style="1" width="40"/>
  </cols>
  <sheetData>
    <row r="2" customFormat="false" ht="19.7" hidden="false" customHeight="false" outlineLevel="0" collapsed="false">
      <c r="B2" s="2" t="s">
        <v>38</v>
      </c>
    </row>
    <row r="4" customFormat="false" ht="15" hidden="false" customHeight="false" outlineLevel="0" collapsed="false">
      <c r="B4" s="10" t="s">
        <v>39</v>
      </c>
    </row>
    <row r="6" customFormat="false" ht="15" hidden="false" customHeight="false" outlineLevel="0" collapsed="false">
      <c r="B6" s="1" t="s">
        <v>40</v>
      </c>
      <c r="C6" s="22" t="n">
        <v>-100</v>
      </c>
      <c r="D6" s="22" t="n">
        <v>-50</v>
      </c>
      <c r="E6" s="22" t="n">
        <v>-25</v>
      </c>
      <c r="F6" s="22" t="n">
        <v>0</v>
      </c>
      <c r="G6" s="22" t="n">
        <v>25</v>
      </c>
      <c r="H6" s="22" t="n">
        <v>50</v>
      </c>
      <c r="I6" s="22" t="n">
        <v>100</v>
      </c>
    </row>
    <row r="7" customFormat="false" ht="15" hidden="false" customHeight="false" outlineLevel="0" collapsed="false">
      <c r="B7" s="1" t="s">
        <v>41</v>
      </c>
      <c r="C7" s="11" t="n">
        <f aca="false">IFERROR(-'Duration &amp; Convexity'!$C$8*(C6/10000)+0.5*'Duration &amp; Convexity'!$C$9*(C6/10000)^2,"-")</f>
        <v>0.0809674255439289</v>
      </c>
      <c r="D7" s="11" t="n">
        <f aca="false">IFERROR(-'Duration &amp; Convexity'!$C$8*(D6/10000)+0.5*'Duration &amp; Convexity'!$C$9*(D6/10000)^2,"-")</f>
        <v>0.0395746637936784</v>
      </c>
      <c r="E7" s="11" t="n">
        <f aca="false">IFERROR(-'Duration &amp; Convexity'!$C$8*(E6/10000)+0.5*'Duration &amp; Convexity'!$C$9*(E6/10000)^2,"-")</f>
        <v>0.0195600696522677</v>
      </c>
      <c r="F7" s="11" t="n">
        <f aca="false">IFERROR(-'Duration &amp; Convexity'!$C$8*(F6/10000)+0.5*'Duration &amp; Convexity'!$C$9*(F6/10000)^2,"-")</f>
        <v>0</v>
      </c>
      <c r="G7" s="11" t="n">
        <f aca="false">IFERROR(-'Duration &amp; Convexity'!$C$8*(G6/10000)+0.5*'Duration &amp; Convexity'!$C$9*(G6/10000)^2,"-")</f>
        <v>-0.0191055451631246</v>
      </c>
      <c r="H7" s="11" t="n">
        <f aca="false">IFERROR(-'Duration &amp; Convexity'!$C$8*(H6/10000)+0.5*'Duration &amp; Convexity'!$C$9*(H6/10000)^2,"-")</f>
        <v>-0.0377565658371063</v>
      </c>
      <c r="I7" s="11" t="n">
        <f aca="false">IFERROR(-'Duration &amp; Convexity'!$C$8*(I6/10000)+0.5*'Duration &amp; Convexity'!$C$9*(I6/10000)^2,"-")</f>
        <v>-0.0736950337176404</v>
      </c>
    </row>
    <row r="8" customFormat="false" ht="15" hidden="false" customHeight="false" outlineLevel="0" collapsed="false">
      <c r="B8" s="1" t="s">
        <v>42</v>
      </c>
      <c r="C8" s="23" t="n">
        <f aca="false">'Bond Pricing'!$C$13</f>
        <v>0.0519787331896839</v>
      </c>
      <c r="D8" s="23" t="n">
        <f aca="false">'Bond Pricing'!$C$13</f>
        <v>0.0519787331896839</v>
      </c>
      <c r="E8" s="23" t="n">
        <f aca="false">'Bond Pricing'!$C$13</f>
        <v>0.0519787331896839</v>
      </c>
      <c r="F8" s="23" t="n">
        <f aca="false">'Bond Pricing'!$C$13</f>
        <v>0.0519787331896839</v>
      </c>
      <c r="G8" s="23" t="n">
        <f aca="false">'Bond Pricing'!$C$13</f>
        <v>0.0519787331896839</v>
      </c>
      <c r="H8" s="23" t="n">
        <f aca="false">'Bond Pricing'!$C$13</f>
        <v>0.0519787331896839</v>
      </c>
      <c r="I8" s="23" t="n">
        <f aca="false">'Bond Pricing'!$C$13</f>
        <v>0.0519787331896839</v>
      </c>
    </row>
    <row r="9" customFormat="false" ht="15" hidden="false" customHeight="false" outlineLevel="0" collapsed="false">
      <c r="B9" s="3" t="s">
        <v>43</v>
      </c>
      <c r="C9" s="24" t="n">
        <f aca="false">C7+C8</f>
        <v>0.132946158733613</v>
      </c>
      <c r="D9" s="24" t="n">
        <f aca="false">D7+D8</f>
        <v>0.0915533969833623</v>
      </c>
      <c r="E9" s="24" t="n">
        <f aca="false">E7+E8</f>
        <v>0.0715388028419516</v>
      </c>
      <c r="F9" s="24" t="n">
        <f aca="false">F7+F8</f>
        <v>0.0519787331896839</v>
      </c>
      <c r="G9" s="24" t="n">
        <f aca="false">G7+G8</f>
        <v>0.0328731880265593</v>
      </c>
      <c r="H9" s="24" t="n">
        <f aca="false">H7+H8</f>
        <v>0.0142221673525777</v>
      </c>
      <c r="I9" s="24" t="n">
        <f aca="false">I7+I8</f>
        <v>-0.0217163005279565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44</v>
      </c>
    </row>
    <row r="4" customFormat="false" ht="15" hidden="false" customHeight="false" outlineLevel="0" collapsed="false">
      <c r="B4" s="12" t="s">
        <v>45</v>
      </c>
    </row>
    <row r="5" customFormat="false" ht="15" hidden="false" customHeight="false" outlineLevel="0" collapsed="false">
      <c r="B5" s="1" t="s">
        <v>46</v>
      </c>
      <c r="C5" s="25" t="s">
        <v>47</v>
      </c>
    </row>
    <row r="6" customFormat="false" ht="15" hidden="false" customHeight="false" outlineLevel="0" collapsed="false">
      <c r="B6" s="1" t="s">
        <v>48</v>
      </c>
      <c r="C6" s="26" t="n">
        <v>46023</v>
      </c>
    </row>
    <row r="7" customFormat="false" ht="15" hidden="false" customHeight="false" outlineLevel="0" collapsed="false">
      <c r="B7" s="1" t="s">
        <v>49</v>
      </c>
      <c r="C7" s="26" t="n">
        <v>46204</v>
      </c>
    </row>
    <row r="8" customFormat="false" ht="15" hidden="false" customHeight="false" outlineLevel="0" collapsed="false">
      <c r="B8" s="1" t="s">
        <v>50</v>
      </c>
      <c r="C8" s="26" t="n">
        <v>46113</v>
      </c>
    </row>
    <row r="10" customFormat="false" ht="15" hidden="false" customHeight="false" outlineLevel="0" collapsed="false">
      <c r="B10" s="12" t="s">
        <v>51</v>
      </c>
    </row>
    <row r="11" customFormat="false" ht="15" hidden="false" customHeight="false" outlineLevel="0" collapsed="false">
      <c r="B11" s="1" t="s">
        <v>52</v>
      </c>
      <c r="C11" s="27" t="n">
        <f aca="false">IF($C$5="30/360",DAYS360(C6,C8),C8-C6)</f>
        <v>90</v>
      </c>
    </row>
    <row r="12" customFormat="false" ht="15" hidden="false" customHeight="false" outlineLevel="0" collapsed="false">
      <c r="B12" s="1" t="s">
        <v>53</v>
      </c>
      <c r="C12" s="27" t="n">
        <f aca="false">IF($C$5="30/360",DAYS360(C6,C7),C7-C6)</f>
        <v>180</v>
      </c>
    </row>
    <row r="13" customFormat="false" ht="15" hidden="false" customHeight="false" outlineLevel="0" collapsed="false">
      <c r="B13" s="1" t="s">
        <v>54</v>
      </c>
      <c r="C13" s="28" t="n">
        <f aca="false">IFERROR(C11/C12,"-")</f>
        <v>0.5</v>
      </c>
    </row>
    <row r="15" customFormat="false" ht="15" hidden="false" customHeight="false" outlineLevel="0" collapsed="false">
      <c r="B15" s="12" t="s">
        <v>55</v>
      </c>
    </row>
    <row r="16" customFormat="false" ht="15" hidden="false" customHeight="false" outlineLevel="0" collapsed="false">
      <c r="B16" s="1" t="s">
        <v>56</v>
      </c>
      <c r="C16" s="29" t="n">
        <f aca="false">'Bond Pricing'!C5*'Bond Pricing'!C6/'Bond Pricing'!C7</f>
        <v>25</v>
      </c>
    </row>
    <row r="17" customFormat="false" ht="15" hidden="false" customHeight="false" outlineLevel="0" collapsed="false">
      <c r="B17" s="1" t="s">
        <v>57</v>
      </c>
      <c r="C17" s="9" t="n">
        <f aca="false">IFERROR(C16*C13,"-")</f>
        <v>12.5</v>
      </c>
    </row>
    <row r="18" customFormat="false" ht="15" hidden="false" customHeight="false" outlineLevel="0" collapsed="false">
      <c r="B18" s="1" t="s">
        <v>58</v>
      </c>
      <c r="C18" s="29" t="n">
        <f aca="false">'Bond Pricing'!C11</f>
        <v>961.931869665561</v>
      </c>
    </row>
    <row r="19" customFormat="false" ht="15" hidden="false" customHeight="false" outlineLevel="0" collapsed="false">
      <c r="B19" s="1" t="s">
        <v>59</v>
      </c>
      <c r="C19" s="30" t="n">
        <f aca="false">IFERROR(C18+C17,"-")</f>
        <v>974.431869665561</v>
      </c>
      <c r="D19" s="1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61</v>
      </c>
    </row>
    <row r="4" customFormat="false" ht="15" hidden="false" customHeight="false" outlineLevel="0" collapsed="false">
      <c r="B4" s="17" t="s">
        <v>62</v>
      </c>
      <c r="C4" s="17" t="s">
        <v>63</v>
      </c>
      <c r="D4" s="17" t="s">
        <v>64</v>
      </c>
      <c r="E4" s="17" t="s">
        <v>65</v>
      </c>
      <c r="F4" s="17" t="s">
        <v>66</v>
      </c>
    </row>
    <row r="5" customFormat="false" ht="15" hidden="false" customHeight="false" outlineLevel="0" collapsed="false">
      <c r="B5" s="31"/>
      <c r="C5" s="31"/>
      <c r="D5" s="31"/>
      <c r="E5" s="31"/>
      <c r="F5" s="31"/>
    </row>
    <row r="6" customFormat="false" ht="15" hidden="false" customHeight="false" outlineLevel="0" collapsed="false">
      <c r="B6" s="31"/>
      <c r="C6" s="31"/>
      <c r="D6" s="31"/>
      <c r="E6" s="31"/>
      <c r="F6" s="31"/>
    </row>
    <row r="7" customFormat="false" ht="15" hidden="false" customHeight="false" outlineLevel="0" collapsed="false">
      <c r="B7" s="31"/>
      <c r="C7" s="31"/>
      <c r="D7" s="31"/>
      <c r="E7" s="31"/>
      <c r="F7" s="31"/>
    </row>
    <row r="8" customFormat="false" ht="15" hidden="false" customHeight="false" outlineLevel="0" collapsed="false">
      <c r="B8" s="31"/>
      <c r="C8" s="31"/>
      <c r="D8" s="31"/>
      <c r="E8" s="31"/>
      <c r="F8" s="31"/>
    </row>
    <row r="9" customFormat="false" ht="15" hidden="false" customHeight="false" outlineLevel="0" collapsed="false">
      <c r="B9" s="31"/>
      <c r="C9" s="31"/>
      <c r="D9" s="31"/>
      <c r="E9" s="31"/>
      <c r="F9" s="31"/>
    </row>
    <row r="10" customFormat="false" ht="15" hidden="false" customHeight="false" outlineLevel="0" collapsed="false">
      <c r="B10" s="31"/>
      <c r="C10" s="31"/>
      <c r="D10" s="31"/>
      <c r="E10" s="31"/>
      <c r="F10" s="31"/>
    </row>
    <row r="11" customFormat="false" ht="15" hidden="false" customHeight="false" outlineLevel="0" collapsed="false">
      <c r="B11" s="31"/>
      <c r="C11" s="31"/>
      <c r="D11" s="31"/>
      <c r="E11" s="31"/>
      <c r="F11" s="31"/>
    </row>
    <row r="12" customFormat="false" ht="15" hidden="false" customHeight="false" outlineLevel="0" collapsed="false">
      <c r="B12" s="31"/>
      <c r="C12" s="31"/>
      <c r="D12" s="31"/>
      <c r="E12" s="31"/>
      <c r="F12" s="31"/>
    </row>
    <row r="13" customFormat="false" ht="15" hidden="false" customHeight="false" outlineLevel="0" collapsed="false">
      <c r="B13" s="31"/>
      <c r="C13" s="31"/>
      <c r="D13" s="31"/>
      <c r="E13" s="31"/>
      <c r="F13" s="31"/>
    </row>
    <row r="14" customFormat="false" ht="15" hidden="false" customHeight="false" outlineLevel="0" collapsed="false">
      <c r="B14" s="31"/>
      <c r="C14" s="31"/>
      <c r="D14" s="31"/>
      <c r="E14" s="31"/>
      <c r="F14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2026-08-04T03:32:25Z</dcterms:created>
  <dc:creator>openpyxl</dc:creator>
  <dc:description/>
  <dc:language>en-US</dc:language>
  <cp:lastModifiedBy/>
  <dcterms:modified xsi:type="dcterms:W3CDTF">2026-08-04T03:32:25Z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