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ond Pricing" sheetId="2" state="visible" r:id="rId4"/>
    <sheet name="Duration &amp; Convexity" sheetId="3" state="visible" r:id="rId5"/>
    <sheet name="Sources" sheetId="4" state="visible" r:id="rId6"/>
    <sheet name="Checks" sheetId="5" state="visible" r:id="rId7"/>
    <sheet name="Yield Curve" sheetId="6" state="visible" r:id="rId8"/>
    <sheet name="Total Return Scenarios" sheetId="7" state="visible" r:id="rId9"/>
    <sheet name="Accrued Interest &amp; Settlement" sheetId="8" state="visible" r:id="rId10"/>
    <sheet name="Refresh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<sst xmlns="http://schemas.openxmlformats.org/spreadsheetml/2006/main" count="119" uniqueCount="116">
  <si>
    <t xml:space="preserve">[BOND/CURVE] — Fixed Income Model</t>
  </si>
  <si>
    <t xml:space="preserve">Instrument:</t>
  </si>
  <si>
    <t xml:space="preserve">[fill in]</t>
  </si>
  <si>
    <t xml:space="preserve">Issuer / sector: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</si>
  <si>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</si>
  <si>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</si>
  <si>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</si>
  <si>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</si>
  <si>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Bond Pricing</t>
  </si>
  <si>
    <t xml:space="preserve">Face value ($)</t>
  </si>
  <si>
    <t xml:space="preserve">Coupon rate (annual, %)</t>
  </si>
  <si>
    <t xml:space="preserve">Coupon frequency (payments/yr)</t>
  </si>
  <si>
    <t xml:space="preserve">Years to maturity</t>
  </si>
  <si>
    <t xml:space="preserve">Yield to maturity (annual, %)</t>
  </si>
  <si>
    <t xml:space="preserve">Price (using PV formula)</t>
  </si>
  <si>
    <t xml:space="preserve">PV(YTM per period, n periods, coupon per period, face value)</t>
  </si>
  <si>
    <t xml:space="preserve">Price as % of par</t>
  </si>
  <si>
    <t xml:space="preserve">Current yield (annual coupon / price)</t>
  </si>
  <si>
    <t xml:space="preserve">Duration &amp; Convexity</t>
  </si>
  <si>
    <t xml:space="preserve">Modified duration (approx., via price shock)</t>
  </si>
  <si>
    <t xml:space="preserve">Yield shock (bp) for numerical estimate</t>
  </si>
  <si>
    <t xml:space="preserve">Price at YTM - shock</t>
  </si>
  <si>
    <t xml:space="preserve">Price at YTM + shock</t>
  </si>
  <si>
    <t xml:space="preserve">Modified duration = (P- - P+) / (2 x P0 x shock in decimal)</t>
  </si>
  <si>
    <t xml:space="preserve">Convexity = (P- + P+ - 2xP0) / (P0 x shock^2)</t>
  </si>
  <si>
    <t xml:space="preserve">Est. price change for 100bp move (duration + convexity)</t>
  </si>
  <si>
    <t xml:space="preserve">Closed-Form Cross-Check (exact cash flow schedule)</t>
  </si>
  <si>
    <t xml:space="preserve">Sums t x PV(CF) and t(t+1) x PV(CF) across every period from the bond's actual cash flows -- the textbook closed-form definition, independent of the finite-difference shock above.</t>
  </si>
  <si>
    <t xml:space="preserve">Period</t>
  </si>
  <si>
    <t xml:space="preserve">Cash flow ($)</t>
  </si>
  <si>
    <t xml:space="preserve">PV factor</t>
  </si>
  <si>
    <t xml:space="preserve">PV(CF)</t>
  </si>
  <si>
    <t xml:space="preserve">t x PV(CF)</t>
  </si>
  <si>
    <t xml:space="preserve">t(t+1) x PV(CF)</t>
  </si>
  <si>
    <t xml:space="preserve">Total</t>
  </si>
  <si>
    <t xml:space="preserve">Closed-form price (should equal Bond Pricing price)</t>
  </si>
  <si>
    <t xml:space="preserve">Macaulay duration (years)</t>
  </si>
  <si>
    <t xml:space="preserve">Modified duration (closed-form)</t>
  </si>
  <si>
    <t xml:space="preserve">Convexity (closed-form, annualized)</t>
  </si>
  <si>
    <t xml:space="preserve">Diff vs. numerical (FD) modified duration above</t>
  </si>
  <si>
    <t xml:space="preserve">Diff vs. numerical (FD) convexity above</t>
  </si>
  <si>
    <t xml:space="preserve">Cash flow schedule supports up to 120 periods (coupon frequency x years to maturity). Inputs implying more periods than that will silently truncate the closed-form sums -- the price-check row above should always be verified to still match Bond Pricing's price.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</si>
  <si>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</si>
  <si>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</si>
  <si>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</si>
  <si>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</si>
  <si>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</si>
  <si>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</si>
  <si>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Modified duration and convexity via finite-difference price shock (+/- 50bp)</t>
  </si>
  <si>
    <t xml:space="preserve">Standard numerical price-sensitivity estimation</t>
  </si>
  <si>
    <t xml:space="preserve">Standard practice</t>
  </si>
  <si>
    <t xml:space="preserve">A numerical approximation -- accuracy depends on shock size; too large a shock understates convexity's own curvature</t>
  </si>
  <si>
    <t xml:space="preserve">Modified duration and convexity via closed-form cash flow schedule (sum of t x PV(CF) / sum of t(t+1) x PV(CF))</t>
  </si>
  <si>
    <t xml:space="preserve">Standard fixed-income textbook definition (e.g. Fabozzi, Bond Markets, Analysis, and Strategies)</t>
  </si>
  <si>
    <t xml:space="preserve">Textbook standard</t>
  </si>
  <si>
    <t xml:space="preserve">Exact given the bond's stated cash flows -- the reference the numerical method above is approximating</t>
  </si>
  <si>
    <t xml:space="preserve">30/360 and Actual/Actual day-count conventions for accrued interest</t>
  </si>
  <si>
    <t xml:space="preserve">Standard bond market day-count conventions</t>
  </si>
  <si>
    <t xml:space="preserve">30/360 is standard for most corporate/municipal bonds; Actual/Actual is standard for U.S. Treasuries -- using the wrong one for the instrument type misstates accrued interest</t>
  </si>
  <si>
    <t xml:space="preserve">Level annuity + bullet PV bond pricing (Excel PV function)</t>
  </si>
  <si>
    <t xml:space="preserve">Standard fixed-coupon bond pricing</t>
  </si>
  <si>
    <t xml:space="preserve">Assumes no embedded optionality (call/put/convert) -- an option-adjusted spread (OAS) model would be needed for callable/putable bonds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</si>
  <si>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</si>
  <si>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</si>
  <si>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</si>
  <si>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</si>
  <si>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</si>
  <si>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Closed-form price (from the cash flow schedule) matches Bond Pricing's PV-formula price</t>
  </si>
  <si>
    <t xml:space="preserve">0 (exact) -- both are the same bond priced two different ways</t>
  </si>
  <si>
    <t xml:space="preserve">Closed-form modified duration matches numerical (finite-difference) modified duration</t>
  </si>
  <si>
    <t xml:space="preserve">~0 (small) -- the FD estimate is an approximation of the closed-form value, not identical to the decimal</t>
  </si>
  <si>
    <t xml:space="preserve">Closed-form convexity matches numerical (finite-difference) convexity</t>
  </si>
  <si>
    <t xml:space="preserve">~0 (small) -- same relationship as duration, one differentiation order higher</t>
  </si>
  <si>
    <t xml:space="preserve">Convexity is non-negative for this option-free bond</t>
  </si>
  <si>
    <t xml:space="preserve">TRUE -- a plain-vanilla (option-free) bond's price-yield curve is always convex from below</t>
  </si>
  <si>
    <t xml:space="preserve">Yield Curve &amp; Spread Analysis</t>
  </si>
  <si>
    <t xml:space="preserve">Tenor</t>
  </si>
  <si>
    <t xml:space="preserve">Benchmark yield</t>
  </si>
  <si>
    <t xml:space="preserve">Instrument spread (bp)</t>
  </si>
  <si>
    <t xml:space="preserve">All-in yield</t>
  </si>
  <si>
    <t xml:space="preserve">3M</t>
  </si>
  <si>
    <t xml:space="preserve">2Y</t>
  </si>
  <si>
    <t xml:space="preserve">5Y</t>
  </si>
  <si>
    <t xml:space="preserve">10Y</t>
  </si>
  <si>
    <t xml:space="preserve">30Y</t>
  </si>
  <si>
    <t xml:space="preserve">2s10s spread (bp)</t>
  </si>
  <si>
    <t xml:space="preserve">Negative = inverted curve</t>
  </si>
  <si>
    <t xml:space="preserve">1-Year Total Return Under Rate Shocks</t>
  </si>
  <si>
    <t xml:space="preserve">Uses duration/convexity from the Duration &amp; Convexity tab plus current yield as the income component — same approximation as that tab's single 100bp estimate, extended across a scenario grid.</t>
  </si>
  <si>
    <t xml:space="preserve">Parallel shift (bp)</t>
  </si>
  <si>
    <t xml:space="preserve">Price return (duration + convexity)</t>
  </si>
  <si>
    <t xml:space="preserve">Income return (current yield)</t>
  </si>
  <si>
    <t xml:space="preserve">Total return</t>
  </si>
  <si>
    <t xml:space="preserve">Accrued Interest &amp; Clean/Dirty Price</t>
  </si>
  <si>
    <t xml:space="preserve">Inputs</t>
  </si>
  <si>
    <t xml:space="preserve">Day-count convention (30/360 or Actual/Actual)</t>
  </si>
  <si>
    <t xml:space="preserve">30/360</t>
  </si>
  <si>
    <t xml:space="preserve">Last coupon date</t>
  </si>
  <si>
    <t xml:space="preserve">Next coupon date</t>
  </si>
  <si>
    <t xml:space="preserve">Settlement date</t>
  </si>
  <si>
    <t xml:space="preserve">Day Count</t>
  </si>
  <si>
    <t xml:space="preserve">Days accrued (last coupon -&gt; settlement)</t>
  </si>
  <si>
    <t xml:space="preserve">Days in full coupon period (last coupon -&gt; next coupon)</t>
  </si>
  <si>
    <t xml:space="preserve">Accrual fraction of the period</t>
  </si>
  <si>
    <t xml:space="preserve">Accrued Interest &amp; Invoice Price</t>
  </si>
  <si>
    <t xml:space="preserve">Periodic coupon (from Bond Pricing)</t>
  </si>
  <si>
    <t xml:space="preserve">Accrued interest</t>
  </si>
  <si>
    <t xml:space="preserve">Clean price (from Bond Pricing — quoted market price)</t>
  </si>
  <si>
    <t xml:space="preserve">Dirty / invoice price (clean + accrued — what the buyer actually pays)</t>
  </si>
  <si>
    <t xml:space="preserve">This is the number that actually settles — quoting only the clean price is a market convention, not the real cash flow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</si>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</sst>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.00;&quot;($&quot;#,##0.00\);\-"/>
    <numFmt numFmtId="169" formatCode="0.00%;\(0.00%\);\-"/>
    <numFmt numFmtId="170" formatCode="0"/>
    <numFmt numFmtId="171" formatCode="0.00"/>
    <numFmt numFmtId="172" formatCode="0.000000"/>
    <numFmt numFmtId="173" formatCode="0.0000"/>
    <numFmt numFmtId="174" formatCode="General"/>
    <numFmt numFmtId="175" formatCode="\+0;\-0"/>
    <numFmt numFmtId="17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2</v>
      </c>
    </row>
    <row r="6" customFormat="false" ht="15" hidden="false" customHeight="true" outlineLevel="0" collapsed="false">
      <c r="B6" s="3" t="s">
        <v>4</v>
      </c>
      <c r="C6" s="4" t="s">
        <v>5</v>
      </c>
    </row>
    <row r="7" customFormat="false" ht="15" hidden="false" customHeight="tru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8</v>
      </c>
    </row>
    <row r="5" customFormat="false" ht="15" hidden="false" customHeight="true" outlineLevel="0" collapsed="false">
      <c r="B5" s="5" t="s">
        <v>9</v>
      </c>
      <c r="C5" s="6" t="n">
        <v>1000</v>
      </c>
    </row>
    <row r="6" customFormat="false" ht="15" hidden="false" customHeight="true" outlineLevel="0" collapsed="false">
      <c r="B6" s="5" t="s">
        <v>10</v>
      </c>
      <c r="C6" s="7" t="n">
        <v>0.05</v>
      </c>
    </row>
    <row r="7" customFormat="false" ht="15" hidden="false" customHeight="true" outlineLevel="0" collapsed="false">
      <c r="B7" s="5" t="s">
        <v>11</v>
      </c>
      <c r="C7" s="8" t="n">
        <v>2</v>
      </c>
    </row>
    <row r="8" customFormat="false" ht="15" hidden="false" customHeight="true" outlineLevel="0" collapsed="false">
      <c r="B8" s="5" t="s">
        <v>12</v>
      </c>
      <c r="C8" s="8" t="n">
        <v>10</v>
      </c>
    </row>
    <row r="9" customFormat="false" ht="15" hidden="false" customHeight="true" outlineLevel="0" collapsed="false">
      <c r="B9" s="5" t="s">
        <v>13</v>
      </c>
      <c r="C9" s="7" t="n">
        <v>0.055</v>
      </c>
    </row>
    <row r="11" customFormat="false" ht="15" hidden="false" customHeight="true" outlineLevel="0" collapsed="false">
      <c r="B11" s="1" t="s">
        <v>14</v>
      </c>
      <c r="C11" s="9" t="n">
        <f aca="false">-PV(C9/C7,C7*C8,C5*C6/C7,C5)</f>
        <v>961.931869665561</v>
      </c>
      <c r="D11" s="10" t="s">
        <v>15</v>
      </c>
    </row>
    <row r="12" customFormat="false" ht="15" hidden="false" customHeight="true" outlineLevel="0" collapsed="false">
      <c r="B12" s="1" t="s">
        <v>16</v>
      </c>
      <c r="C12" s="11" t="n">
        <f aca="false">IFERROR(C11/C5,"-")</f>
        <v>0.961931869665561</v>
      </c>
    </row>
    <row r="13" customFormat="false" ht="15" hidden="false" customHeight="true" outlineLevel="0" collapsed="false">
      <c r="B13" s="1" t="s">
        <v>17</v>
      </c>
      <c r="C13" s="11" t="n">
        <f aca="false">IFERROR(C5*C6/C11,"-")</f>
        <v>0.0519787331896839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7" min="3" style="1" width="16"/>
  </cols>
  <sheetData>
    <row r="2" customFormat="false" ht="19.5" hidden="false" customHeight="true" outlineLevel="0" collapsed="false">
      <c r="B2" s="2" t="s">
        <v>18</v>
      </c>
    </row>
    <row r="4" customFormat="false" ht="15" hidden="false" customHeight="true" outlineLevel="0" collapsed="false">
      <c r="B4" s="12" t="s">
        <v>19</v>
      </c>
    </row>
    <row r="5" customFormat="false" ht="15" hidden="false" customHeight="true" outlineLevel="0" collapsed="false">
      <c r="B5" s="1" t="s">
        <v>20</v>
      </c>
      <c r="C5" s="13" t="n">
        <v>50</v>
      </c>
    </row>
    <row r="6" customFormat="false" ht="15" hidden="false" customHeight="true" outlineLevel="0" collapsed="false">
      <c r="B6" s="1" t="s">
        <v>21</v>
      </c>
      <c r="C6" s="14" t="n">
        <f aca="false">-PV(('Bond Pricing'!C9-C5/10000)/'Bond Pricing'!C7,'Bond Pricing'!C7*'Bond Pricing'!C8,'Bond Pricing'!C5*'Bond Pricing'!C6/'Bond Pricing'!C7,'Bond Pricing'!C5)</f>
        <v>1000</v>
      </c>
    </row>
    <row r="7" customFormat="false" ht="15" hidden="false" customHeight="true" outlineLevel="0" collapsed="false">
      <c r="B7" s="1" t="s">
        <v>22</v>
      </c>
      <c r="C7" s="14" t="n">
        <f aca="false">-PV(('Bond Pricing'!C9+C5/10000)/'Bond Pricing'!C7,'Bond Pricing'!C7*'Bond Pricing'!C8,'Bond Pricing'!C5*'Bond Pricing'!C6/'Bond Pricing'!C7,'Bond Pricing'!C5)</f>
        <v>925.612625697723</v>
      </c>
    </row>
    <row r="8" customFormat="false" ht="15" hidden="false" customHeight="true" outlineLevel="0" collapsed="false">
      <c r="B8" s="1" t="s">
        <v>23</v>
      </c>
      <c r="C8" s="15" t="n">
        <f aca="false">IFERROR((C6-C7)/(2*'Bond Pricing'!C11*(C5/10000)),"-")</f>
        <v>7.73312296307847</v>
      </c>
    </row>
    <row r="9" customFormat="false" ht="15" hidden="false" customHeight="true" outlineLevel="0" collapsed="false">
      <c r="B9" s="1" t="s">
        <v>24</v>
      </c>
      <c r="C9" s="16" t="n">
        <f aca="false">IFERROR((C6+C7-2*'Bond Pricing'!C11)/('Bond Pricing'!C11*(C5/10000)^2),"-")</f>
        <v>72.7239182628855</v>
      </c>
    </row>
    <row r="10" customFormat="false" ht="15" hidden="false" customHeight="true" outlineLevel="0" collapsed="false">
      <c r="B10" s="1" t="s">
        <v>25</v>
      </c>
      <c r="C10" s="11" t="n">
        <f aca="false">IFERROR(-C8*0.01+0.5*C9*0.01^2,"-")</f>
        <v>-0.0736950337176404</v>
      </c>
    </row>
    <row r="12" customFormat="false" ht="15" hidden="false" customHeight="true" outlineLevel="0" collapsed="false">
      <c r="B12" s="12" t="s">
        <v>26</v>
      </c>
    </row>
    <row r="13" customFormat="false" ht="15" hidden="false" customHeight="true" outlineLevel="0" collapsed="false">
      <c r="B13" s="10" t="s">
        <v>27</v>
      </c>
    </row>
    <row r="15" customFormat="false" ht="15" hidden="false" customHeight="true" outlineLevel="0" collapsed="false">
      <c r="B15" s="17" t="s">
        <v>28</v>
      </c>
      <c r="C15" s="17" t="s">
        <v>29</v>
      </c>
      <c r="D15" s="17" t="s">
        <v>30</v>
      </c>
      <c r="E15" s="17" t="s">
        <v>31</v>
      </c>
      <c r="F15" s="17" t="s">
        <v>32</v>
      </c>
      <c r="G15" s="1" t="s">
        <v>33</v>
      </c>
    </row>
    <row r="16" customFormat="false" ht="15" hidden="false" customHeight="true" outlineLevel="0" collapsed="false">
      <c r="B16" s="5" t="n">
        <v>1</v>
      </c>
      <c r="C16" s="18" t="n">
        <f aca="false">IF(1&gt;'Bond Pricing'!$C$7*'Bond Pricing'!$C$8,0,IF(1='Bond Pricing'!$C$7*'Bond Pricing'!$C$8,'Bond Pricing'!$C$5*'Bond Pricing'!$C$6/'Bond Pricing'!$C$7+'Bond Pricing'!$C$5,'Bond Pricing'!$C$5*'Bond Pricing'!$C$6/'Bond Pricing'!$C$7))</f>
        <v>25</v>
      </c>
      <c r="D16" s="19" t="n">
        <f aca="false">1/(1+'Bond Pricing'!$C$9/'Bond Pricing'!$C$7)^1</f>
        <v>0.97323600973236</v>
      </c>
      <c r="E16" s="18" t="n">
        <f aca="false">C16*D16</f>
        <v>24.330900243309</v>
      </c>
      <c r="F16" s="18" t="n">
        <f aca="false">1*E16</f>
        <v>24.330900243309</v>
      </c>
      <c r="G16" s="18" t="n">
        <f aca="false">1*(1+1)*E16</f>
        <v>48.661800486618</v>
      </c>
    </row>
    <row r="17" customFormat="false" ht="15" hidden="false" customHeight="true" outlineLevel="0" collapsed="false">
      <c r="B17" s="5" t="n">
        <v>2</v>
      </c>
      <c r="C17" s="18" t="n">
        <f aca="false">IF(2&gt;'Bond Pricing'!$C$7*'Bond Pricing'!$C$8,0,IF(2='Bond Pricing'!$C$7*'Bond Pricing'!$C$8,'Bond Pricing'!$C$5*'Bond Pricing'!$C$6/'Bond Pricing'!$C$7+'Bond Pricing'!$C$5,'Bond Pricing'!$C$5*'Bond Pricing'!$C$6/'Bond Pricing'!$C$7))</f>
        <v>25</v>
      </c>
      <c r="D17" s="19" t="n">
        <f aca="false">1/(1+'Bond Pricing'!$C$9/'Bond Pricing'!$C$7)^2</f>
        <v>0.947188330639766</v>
      </c>
      <c r="E17" s="18" t="n">
        <f aca="false">C17*D17</f>
        <v>23.6797082659942</v>
      </c>
      <c r="F17" s="18" t="n">
        <f aca="false">2*E17</f>
        <v>47.3594165319883</v>
      </c>
      <c r="G17" s="18" t="n">
        <f aca="false">2*(2+1)*E17</f>
        <v>142.078249595965</v>
      </c>
    </row>
    <row r="18" customFormat="false" ht="15" hidden="false" customHeight="true" outlineLevel="0" collapsed="false">
      <c r="B18" s="5" t="n">
        <v>3</v>
      </c>
      <c r="C18" s="18" t="n">
        <f aca="false">IF(3&gt;'Bond Pricing'!$C$7*'Bond Pricing'!$C$8,0,IF(3='Bond Pricing'!$C$7*'Bond Pricing'!$C$8,'Bond Pricing'!$C$5*'Bond Pricing'!$C$6/'Bond Pricing'!$C$7+'Bond Pricing'!$C$5,'Bond Pricing'!$C$5*'Bond Pricing'!$C$6/'Bond Pricing'!$C$7))</f>
        <v>25</v>
      </c>
      <c r="D18" s="19" t="n">
        <f aca="false">1/(1+'Bond Pricing'!$C$9/'Bond Pricing'!$C$7)^3</f>
        <v>0.921837791376902</v>
      </c>
      <c r="E18" s="18" t="n">
        <f aca="false">C18*D18</f>
        <v>23.0459447844225</v>
      </c>
      <c r="F18" s="18" t="n">
        <f aca="false">3*E18</f>
        <v>69.1378343532676</v>
      </c>
      <c r="G18" s="18" t="n">
        <f aca="false">3*(3+1)*E18</f>
        <v>276.55133741307</v>
      </c>
    </row>
    <row r="19" customFormat="false" ht="15" hidden="false" customHeight="true" outlineLevel="0" collapsed="false">
      <c r="B19" s="5" t="n">
        <v>4</v>
      </c>
      <c r="C19" s="18" t="n">
        <f aca="false">IF(4&gt;'Bond Pricing'!$C$7*'Bond Pricing'!$C$8,0,IF(4='Bond Pricing'!$C$7*'Bond Pricing'!$C$8,'Bond Pricing'!$C$5*'Bond Pricing'!$C$6/'Bond Pricing'!$C$7+'Bond Pricing'!$C$5,'Bond Pricing'!$C$5*'Bond Pricing'!$C$6/'Bond Pricing'!$C$7))</f>
        <v>25</v>
      </c>
      <c r="D19" s="19" t="n">
        <f aca="false">1/(1+'Bond Pricing'!$C$9/'Bond Pricing'!$C$7)^4</f>
        <v>0.897165733700147</v>
      </c>
      <c r="E19" s="18" t="n">
        <f aca="false">C19*D19</f>
        <v>22.4291433425037</v>
      </c>
      <c r="F19" s="18" t="n">
        <f aca="false">4*E19</f>
        <v>89.7165733700147</v>
      </c>
      <c r="G19" s="18" t="n">
        <f aca="false">4*(4+1)*E19</f>
        <v>448.582866850074</v>
      </c>
    </row>
    <row r="20" customFormat="false" ht="15" hidden="false" customHeight="true" outlineLevel="0" collapsed="false">
      <c r="B20" s="5" t="n">
        <v>5</v>
      </c>
      <c r="C20" s="18" t="n">
        <f aca="false">IF(5&gt;'Bond Pricing'!$C$7*'Bond Pricing'!$C$8,0,IF(5='Bond Pricing'!$C$7*'Bond Pricing'!$C$8,'Bond Pricing'!$C$5*'Bond Pricing'!$C$6/'Bond Pricing'!$C$7+'Bond Pricing'!$C$5,'Bond Pricing'!$C$5*'Bond Pricing'!$C$6/'Bond Pricing'!$C$7))</f>
        <v>25</v>
      </c>
      <c r="D20" s="19" t="n">
        <f aca="false">1/(1+'Bond Pricing'!$C$9/'Bond Pricing'!$C$7)^5</f>
        <v>0.873153998734937</v>
      </c>
      <c r="E20" s="18" t="n">
        <f aca="false">C20*D20</f>
        <v>21.8288499683734</v>
      </c>
      <c r="F20" s="18" t="n">
        <f aca="false">5*E20</f>
        <v>109.144249841867</v>
      </c>
      <c r="G20" s="18" t="n">
        <f aca="false">5*(5+1)*E20</f>
        <v>654.865499051203</v>
      </c>
    </row>
    <row r="21" customFormat="false" ht="15" hidden="false" customHeight="true" outlineLevel="0" collapsed="false">
      <c r="B21" s="5" t="n">
        <v>6</v>
      </c>
      <c r="C21" s="18" t="n">
        <f aca="false">IF(6&gt;'Bond Pricing'!$C$7*'Bond Pricing'!$C$8,0,IF(6='Bond Pricing'!$C$7*'Bond Pricing'!$C$8,'Bond Pricing'!$C$5*'Bond Pricing'!$C$6/'Bond Pricing'!$C$7+'Bond Pricing'!$C$5,'Bond Pricing'!$C$5*'Bond Pricing'!$C$6/'Bond Pricing'!$C$7))</f>
        <v>25</v>
      </c>
      <c r="D21" s="19" t="n">
        <f aca="false">1/(1+'Bond Pricing'!$C$9/'Bond Pricing'!$C$7)^6</f>
        <v>0.849784913610644</v>
      </c>
      <c r="E21" s="18" t="n">
        <f aca="false">C21*D21</f>
        <v>21.2446228402661</v>
      </c>
      <c r="F21" s="18" t="n">
        <f aca="false">6*E21</f>
        <v>127.467737041597</v>
      </c>
      <c r="G21" s="18" t="n">
        <f aca="false">6*(6+1)*E21</f>
        <v>892.274159291176</v>
      </c>
    </row>
    <row r="22" customFormat="false" ht="15" hidden="false" customHeight="true" outlineLevel="0" collapsed="false">
      <c r="B22" s="5" t="n">
        <v>7</v>
      </c>
      <c r="C22" s="18" t="n">
        <f aca="false">IF(7&gt;'Bond Pricing'!$C$7*'Bond Pricing'!$C$8,0,IF(7='Bond Pricing'!$C$7*'Bond Pricing'!$C$8,'Bond Pricing'!$C$5*'Bond Pricing'!$C$6/'Bond Pricing'!$C$7+'Bond Pricing'!$C$5,'Bond Pricing'!$C$5*'Bond Pricing'!$C$6/'Bond Pricing'!$C$7))</f>
        <v>25</v>
      </c>
      <c r="D22" s="19" t="n">
        <f aca="false">1/(1+'Bond Pricing'!$C$9/'Bond Pricing'!$C$7)^7</f>
        <v>0.827041278453181</v>
      </c>
      <c r="E22" s="18" t="n">
        <f aca="false">C22*D22</f>
        <v>20.6760319613295</v>
      </c>
      <c r="F22" s="18" t="n">
        <f aca="false">7*E22</f>
        <v>144.732223729307</v>
      </c>
      <c r="G22" s="18" t="n">
        <f aca="false">7*(7+1)*E22</f>
        <v>1157.85778983445</v>
      </c>
    </row>
    <row r="23" customFormat="false" ht="15" hidden="false" customHeight="true" outlineLevel="0" collapsed="false">
      <c r="B23" s="5" t="n">
        <v>8</v>
      </c>
      <c r="C23" s="18" t="n">
        <f aca="false">IF(8&gt;'Bond Pricing'!$C$7*'Bond Pricing'!$C$8,0,IF(8='Bond Pricing'!$C$7*'Bond Pricing'!$C$8,'Bond Pricing'!$C$5*'Bond Pricing'!$C$6/'Bond Pricing'!$C$7+'Bond Pricing'!$C$5,'Bond Pricing'!$C$5*'Bond Pricing'!$C$6/'Bond Pricing'!$C$7))</f>
        <v>25</v>
      </c>
      <c r="D23" s="19" t="n">
        <f aca="false">1/(1+'Bond Pricing'!$C$9/'Bond Pricing'!$C$7)^8</f>
        <v>0.804906353725724</v>
      </c>
      <c r="E23" s="18" t="n">
        <f aca="false">C23*D23</f>
        <v>20.1226588431431</v>
      </c>
      <c r="F23" s="18" t="n">
        <f aca="false">8*E23</f>
        <v>160.981270745145</v>
      </c>
      <c r="G23" s="18" t="n">
        <f aca="false">8*(8+1)*E23</f>
        <v>1448.8314367063</v>
      </c>
    </row>
    <row r="24" customFormat="false" ht="15" hidden="false" customHeight="true" outlineLevel="0" collapsed="false">
      <c r="B24" s="5" t="n">
        <v>9</v>
      </c>
      <c r="C24" s="18" t="n">
        <f aca="false">IF(9&gt;'Bond Pricing'!$C$7*'Bond Pricing'!$C$8,0,IF(9='Bond Pricing'!$C$7*'Bond Pricing'!$C$8,'Bond Pricing'!$C$5*'Bond Pricing'!$C$6/'Bond Pricing'!$C$7+'Bond Pricing'!$C$5,'Bond Pricing'!$C$5*'Bond Pricing'!$C$6/'Bond Pricing'!$C$7))</f>
        <v>25</v>
      </c>
      <c r="D24" s="19" t="n">
        <f aca="false">1/(1+'Bond Pricing'!$C$9/'Bond Pricing'!$C$7)^9</f>
        <v>0.783363847908247</v>
      </c>
      <c r="E24" s="18" t="n">
        <f aca="false">C24*D24</f>
        <v>19.5840961977062</v>
      </c>
      <c r="F24" s="18" t="n">
        <f aca="false">9*E24</f>
        <v>176.256865779356</v>
      </c>
      <c r="G24" s="18" t="n">
        <f aca="false">9*(9+1)*E24</f>
        <v>1762.56865779356</v>
      </c>
    </row>
    <row r="25" customFormat="false" ht="15" hidden="false" customHeight="true" outlineLevel="0" collapsed="false">
      <c r="B25" s="5" t="n">
        <v>10</v>
      </c>
      <c r="C25" s="18" t="n">
        <f aca="false">IF(10&gt;'Bond Pricing'!$C$7*'Bond Pricing'!$C$8,0,IF(10='Bond Pricing'!$C$7*'Bond Pricing'!$C$8,'Bond Pricing'!$C$5*'Bond Pricing'!$C$6/'Bond Pricing'!$C$7+'Bond Pricing'!$C$5,'Bond Pricing'!$C$5*'Bond Pricing'!$C$6/'Bond Pricing'!$C$7))</f>
        <v>25</v>
      </c>
      <c r="D25" s="19" t="n">
        <f aca="false">1/(1+'Bond Pricing'!$C$9/'Bond Pricing'!$C$7)^10</f>
        <v>0.76239790550681</v>
      </c>
      <c r="E25" s="18" t="n">
        <f aca="false">C25*D25</f>
        <v>19.0599476376702</v>
      </c>
      <c r="F25" s="18" t="n">
        <f aca="false">10*E25</f>
        <v>190.599476376702</v>
      </c>
      <c r="G25" s="18" t="n">
        <f aca="false">10*(10+1)*E25</f>
        <v>2096.59424014373</v>
      </c>
    </row>
    <row r="26" customFormat="false" ht="15" hidden="false" customHeight="true" outlineLevel="0" collapsed="false">
      <c r="B26" s="5" t="n">
        <v>11</v>
      </c>
      <c r="C26" s="18" t="n">
        <f aca="false">IF(11&gt;'Bond Pricing'!$C$7*'Bond Pricing'!$C$8,0,IF(11='Bond Pricing'!$C$7*'Bond Pricing'!$C$8,'Bond Pricing'!$C$5*'Bond Pricing'!$C$6/'Bond Pricing'!$C$7+'Bond Pricing'!$C$5,'Bond Pricing'!$C$5*'Bond Pricing'!$C$6/'Bond Pricing'!$C$7))</f>
        <v>25</v>
      </c>
      <c r="D26" s="19" t="n">
        <f aca="false">1/(1+'Bond Pricing'!$C$9/'Bond Pricing'!$C$7)^11</f>
        <v>0.741993095383756</v>
      </c>
      <c r="E26" s="18" t="n">
        <f aca="false">C26*D26</f>
        <v>18.5498273845939</v>
      </c>
      <c r="F26" s="18" t="n">
        <f aca="false">11*E26</f>
        <v>204.048101230533</v>
      </c>
      <c r="G26" s="18" t="n">
        <f aca="false">11*(11+1)*E26</f>
        <v>2448.5772147664</v>
      </c>
    </row>
    <row r="27" customFormat="false" ht="15" hidden="false" customHeight="true" outlineLevel="0" collapsed="false">
      <c r="B27" s="5" t="n">
        <v>12</v>
      </c>
      <c r="C27" s="18" t="n">
        <f aca="false">IF(12&gt;'Bond Pricing'!$C$7*'Bond Pricing'!$C$8,0,IF(12='Bond Pricing'!$C$7*'Bond Pricing'!$C$8,'Bond Pricing'!$C$5*'Bond Pricing'!$C$6/'Bond Pricing'!$C$7+'Bond Pricing'!$C$5,'Bond Pricing'!$C$5*'Bond Pricing'!$C$6/'Bond Pricing'!$C$7))</f>
        <v>25</v>
      </c>
      <c r="D27" s="19" t="n">
        <f aca="false">1/(1+'Bond Pricing'!$C$9/'Bond Pricing'!$C$7)^12</f>
        <v>0.722134399400249</v>
      </c>
      <c r="E27" s="18" t="n">
        <f aca="false">C27*D27</f>
        <v>18.0533599850062</v>
      </c>
      <c r="F27" s="18" t="n">
        <f aca="false">12*E27</f>
        <v>216.640319820075</v>
      </c>
      <c r="G27" s="18" t="n">
        <f aca="false">12*(12+1)*E27</f>
        <v>2816.32415766097</v>
      </c>
    </row>
    <row r="28" customFormat="false" ht="15" hidden="false" customHeight="true" outlineLevel="0" collapsed="false">
      <c r="B28" s="5" t="n">
        <v>13</v>
      </c>
      <c r="C28" s="18" t="n">
        <f aca="false">IF(13&gt;'Bond Pricing'!$C$7*'Bond Pricing'!$C$8,0,IF(13='Bond Pricing'!$C$7*'Bond Pricing'!$C$8,'Bond Pricing'!$C$5*'Bond Pricing'!$C$6/'Bond Pricing'!$C$7+'Bond Pricing'!$C$5,'Bond Pricing'!$C$5*'Bond Pricing'!$C$6/'Bond Pricing'!$C$7))</f>
        <v>25</v>
      </c>
      <c r="D28" s="19" t="n">
        <f aca="false">1/(1+'Bond Pricing'!$C$9/'Bond Pricing'!$C$7)^13</f>
        <v>0.702807201362773</v>
      </c>
      <c r="E28" s="18" t="n">
        <f aca="false">C28*D28</f>
        <v>17.5701800340693</v>
      </c>
      <c r="F28" s="18" t="n">
        <f aca="false">13*E28</f>
        <v>228.412340442901</v>
      </c>
      <c r="G28" s="18" t="n">
        <f aca="false">13*(13+1)*E28</f>
        <v>3197.77276620062</v>
      </c>
    </row>
    <row r="29" customFormat="false" ht="15" hidden="false" customHeight="true" outlineLevel="0" collapsed="false">
      <c r="B29" s="5" t="n">
        <v>14</v>
      </c>
      <c r="C29" s="18" t="n">
        <f aca="false">IF(14&gt;'Bond Pricing'!$C$7*'Bond Pricing'!$C$8,0,IF(14='Bond Pricing'!$C$7*'Bond Pricing'!$C$8,'Bond Pricing'!$C$5*'Bond Pricing'!$C$6/'Bond Pricing'!$C$7+'Bond Pricing'!$C$5,'Bond Pricing'!$C$5*'Bond Pricing'!$C$6/'Bond Pricing'!$C$7))</f>
        <v>25</v>
      </c>
      <c r="D29" s="19" t="n">
        <f aca="false">1/(1+'Bond Pricing'!$C$9/'Bond Pricing'!$C$7)^14</f>
        <v>0.683997276265473</v>
      </c>
      <c r="E29" s="18" t="n">
        <f aca="false">C29*D29</f>
        <v>17.0999319066368</v>
      </c>
      <c r="F29" s="18" t="n">
        <f aca="false">14*E29</f>
        <v>239.399046692915</v>
      </c>
      <c r="G29" s="18" t="n">
        <f aca="false">14*(14+1)*E29</f>
        <v>3590.98570039373</v>
      </c>
    </row>
    <row r="30" customFormat="false" ht="15" hidden="false" customHeight="true" outlineLevel="0" collapsed="false">
      <c r="B30" s="5" t="n">
        <v>15</v>
      </c>
      <c r="C30" s="18" t="n">
        <f aca="false">IF(15&gt;'Bond Pricing'!$C$7*'Bond Pricing'!$C$8,0,IF(15='Bond Pricing'!$C$7*'Bond Pricing'!$C$8,'Bond Pricing'!$C$5*'Bond Pricing'!$C$6/'Bond Pricing'!$C$7+'Bond Pricing'!$C$5,'Bond Pricing'!$C$5*'Bond Pricing'!$C$6/'Bond Pricing'!$C$7))</f>
        <v>25</v>
      </c>
      <c r="D30" s="19" t="n">
        <f aca="false">1/(1+'Bond Pricing'!$C$9/'Bond Pricing'!$C$7)^15</f>
        <v>0.665690779820411</v>
      </c>
      <c r="E30" s="18" t="n">
        <f aca="false">C30*D30</f>
        <v>16.6422694955103</v>
      </c>
      <c r="F30" s="18" t="n">
        <f aca="false">15*E30</f>
        <v>249.634042432654</v>
      </c>
      <c r="G30" s="18" t="n">
        <f aca="false">15*(15+1)*E30</f>
        <v>3994.14467892247</v>
      </c>
    </row>
    <row r="31" customFormat="false" ht="15" hidden="false" customHeight="true" outlineLevel="0" collapsed="false">
      <c r="B31" s="5" t="n">
        <v>16</v>
      </c>
      <c r="C31" s="18" t="n">
        <f aca="false">IF(16&gt;'Bond Pricing'!$C$7*'Bond Pricing'!$C$8,0,IF(16='Bond Pricing'!$C$7*'Bond Pricing'!$C$8,'Bond Pricing'!$C$5*'Bond Pricing'!$C$6/'Bond Pricing'!$C$7+'Bond Pricing'!$C$5,'Bond Pricing'!$C$5*'Bond Pricing'!$C$6/'Bond Pricing'!$C$7))</f>
        <v>25</v>
      </c>
      <c r="D31" s="19" t="n">
        <f aca="false">1/(1+'Bond Pricing'!$C$9/'Bond Pricing'!$C$7)^16</f>
        <v>0.64787423826804</v>
      </c>
      <c r="E31" s="18" t="n">
        <f aca="false">C31*D31</f>
        <v>16.196855956701</v>
      </c>
      <c r="F31" s="18" t="n">
        <f aca="false">16*E31</f>
        <v>259.149695307216</v>
      </c>
      <c r="G31" s="18" t="n">
        <f aca="false">16*(16+1)*E31</f>
        <v>4405.54482022267</v>
      </c>
    </row>
    <row r="32" customFormat="false" ht="15" hidden="false" customHeight="true" outlineLevel="0" collapsed="false">
      <c r="B32" s="5" t="n">
        <v>17</v>
      </c>
      <c r="C32" s="18" t="n">
        <f aca="false">IF(17&gt;'Bond Pricing'!$C$7*'Bond Pricing'!$C$8,0,IF(17='Bond Pricing'!$C$7*'Bond Pricing'!$C$8,'Bond Pricing'!$C$5*'Bond Pricing'!$C$6/'Bond Pricing'!$C$7+'Bond Pricing'!$C$5,'Bond Pricing'!$C$5*'Bond Pricing'!$C$6/'Bond Pricing'!$C$7))</f>
        <v>25</v>
      </c>
      <c r="D32" s="19" t="n">
        <f aca="false">1/(1+'Bond Pricing'!$C$9/'Bond Pricing'!$C$7)^17</f>
        <v>0.630534538460379</v>
      </c>
      <c r="E32" s="18" t="n">
        <f aca="false">C32*D32</f>
        <v>15.7633634615095</v>
      </c>
      <c r="F32" s="18" t="n">
        <f aca="false">17*E32</f>
        <v>267.977178845661</v>
      </c>
      <c r="G32" s="18" t="n">
        <f aca="false">17*(17+1)*E32</f>
        <v>4823.5892192219</v>
      </c>
    </row>
    <row r="33" customFormat="false" ht="15" hidden="false" customHeight="true" outlineLevel="0" collapsed="false">
      <c r="B33" s="5" t="n">
        <v>18</v>
      </c>
      <c r="C33" s="18" t="n">
        <f aca="false">IF(18&gt;'Bond Pricing'!$C$7*'Bond Pricing'!$C$8,0,IF(18='Bond Pricing'!$C$7*'Bond Pricing'!$C$8,'Bond Pricing'!$C$5*'Bond Pricing'!$C$6/'Bond Pricing'!$C$7+'Bond Pricing'!$C$5,'Bond Pricing'!$C$5*'Bond Pricing'!$C$6/'Bond Pricing'!$C$7))</f>
        <v>25</v>
      </c>
      <c r="D33" s="19" t="n">
        <f aca="false">1/(1+'Bond Pricing'!$C$9/'Bond Pricing'!$C$7)^18</f>
        <v>0.613658918209615</v>
      </c>
      <c r="E33" s="18" t="n">
        <f aca="false">C33*D33</f>
        <v>15.3414729552404</v>
      </c>
      <c r="F33" s="18" t="n">
        <f aca="false">18*E33</f>
        <v>276.146513194327</v>
      </c>
      <c r="G33" s="18" t="n">
        <f aca="false">18*(18+1)*E33</f>
        <v>5246.78375069221</v>
      </c>
    </row>
    <row r="34" customFormat="false" ht="15" hidden="false" customHeight="true" outlineLevel="0" collapsed="false">
      <c r="B34" s="5" t="n">
        <v>19</v>
      </c>
      <c r="C34" s="18" t="n">
        <f aca="false">IF(19&gt;'Bond Pricing'!$C$7*'Bond Pricing'!$C$8,0,IF(19='Bond Pricing'!$C$7*'Bond Pricing'!$C$8,'Bond Pricing'!$C$5*'Bond Pricing'!$C$6/'Bond Pricing'!$C$7+'Bond Pricing'!$C$5,'Bond Pricing'!$C$5*'Bond Pricing'!$C$6/'Bond Pricing'!$C$7))</f>
        <v>25</v>
      </c>
      <c r="D34" s="19" t="n">
        <f aca="false">1/(1+'Bond Pricing'!$C$9/'Bond Pricing'!$C$7)^19</f>
        <v>0.597234956895002</v>
      </c>
      <c r="E34" s="18" t="n">
        <f aca="false">C34*D34</f>
        <v>14.9308739223751</v>
      </c>
      <c r="F34" s="18" t="n">
        <f aca="false">19*E34</f>
        <v>283.686604525126</v>
      </c>
      <c r="G34" s="18" t="n">
        <f aca="false">19*(19+1)*E34</f>
        <v>5673.73209050252</v>
      </c>
    </row>
    <row r="35" customFormat="false" ht="15" hidden="false" customHeight="true" outlineLevel="0" collapsed="false">
      <c r="B35" s="5" t="n">
        <v>20</v>
      </c>
      <c r="C35" s="18" t="n">
        <f aca="false">IF(20&gt;'Bond Pricing'!$C$7*'Bond Pricing'!$C$8,0,IF(20='Bond Pricing'!$C$7*'Bond Pricing'!$C$8,'Bond Pricing'!$C$5*'Bond Pricing'!$C$6/'Bond Pricing'!$C$7+'Bond Pricing'!$C$5,'Bond Pricing'!$C$5*'Bond Pricing'!$C$6/'Bond Pricing'!$C$7))</f>
        <v>1025</v>
      </c>
      <c r="D35" s="19" t="n">
        <f aca="false">1/(1+'Bond Pricing'!$C$9/'Bond Pricing'!$C$7)^20</f>
        <v>0.58125056632117</v>
      </c>
      <c r="E35" s="18" t="n">
        <f aca="false">C35*D35</f>
        <v>595.781830479199</v>
      </c>
      <c r="F35" s="18" t="n">
        <f aca="false">20*E35</f>
        <v>11915.636609584</v>
      </c>
      <c r="G35" s="18" t="n">
        <f aca="false">20*(20+1)*E35</f>
        <v>250228.368801264</v>
      </c>
    </row>
    <row r="36" customFormat="false" ht="15" hidden="false" customHeight="true" outlineLevel="0" collapsed="false">
      <c r="B36" s="5" t="n">
        <v>21</v>
      </c>
      <c r="C36" s="18" t="n">
        <f aca="false">IF(21&gt;'Bond Pricing'!$C$7*'Bond Pricing'!$C$8,0,IF(21='Bond Pricing'!$C$7*'Bond Pricing'!$C$8,'Bond Pricing'!$C$5*'Bond Pricing'!$C$6/'Bond Pricing'!$C$7+'Bond Pricing'!$C$5,'Bond Pricing'!$C$5*'Bond Pricing'!$C$6/'Bond Pricing'!$C$7))</f>
        <v>0</v>
      </c>
      <c r="D36" s="19" t="n">
        <f aca="false">1/(1+'Bond Pricing'!$C$9/'Bond Pricing'!$C$7)^21</f>
        <v>0.56569398182109</v>
      </c>
      <c r="E36" s="18" t="n">
        <f aca="false">C36*D36</f>
        <v>0</v>
      </c>
      <c r="F36" s="18" t="n">
        <f aca="false">21*E36</f>
        <v>0</v>
      </c>
      <c r="G36" s="18" t="n">
        <f aca="false">21*(21+1)*E36</f>
        <v>0</v>
      </c>
    </row>
    <row r="37" customFormat="false" ht="15" hidden="false" customHeight="true" outlineLevel="0" collapsed="false">
      <c r="B37" s="5" t="n">
        <v>22</v>
      </c>
      <c r="C37" s="18" t="n">
        <f aca="false">IF(22&gt;'Bond Pricing'!$C$7*'Bond Pricing'!$C$8,0,IF(22='Bond Pricing'!$C$7*'Bond Pricing'!$C$8,'Bond Pricing'!$C$5*'Bond Pricing'!$C$6/'Bond Pricing'!$C$7+'Bond Pricing'!$C$5,'Bond Pricing'!$C$5*'Bond Pricing'!$C$6/'Bond Pricing'!$C$7))</f>
        <v>0</v>
      </c>
      <c r="D37" s="19" t="n">
        <f aca="false">1/(1+'Bond Pricing'!$C$9/'Bond Pricing'!$C$7)^22</f>
        <v>0.550553753597168</v>
      </c>
      <c r="E37" s="18" t="n">
        <f aca="false">C37*D37</f>
        <v>0</v>
      </c>
      <c r="F37" s="18" t="n">
        <f aca="false">22*E37</f>
        <v>0</v>
      </c>
      <c r="G37" s="18" t="n">
        <f aca="false">22*(22+1)*E37</f>
        <v>0</v>
      </c>
    </row>
    <row r="38" customFormat="false" ht="15" hidden="false" customHeight="true" outlineLevel="0" collapsed="false">
      <c r="B38" s="5" t="n">
        <v>23</v>
      </c>
      <c r="C38" s="18" t="n">
        <f aca="false">IF(23&gt;'Bond Pricing'!$C$7*'Bond Pricing'!$C$8,0,IF(23='Bond Pricing'!$C$7*'Bond Pricing'!$C$8,'Bond Pricing'!$C$5*'Bond Pricing'!$C$6/'Bond Pricing'!$C$7+'Bond Pricing'!$C$5,'Bond Pricing'!$C$5*'Bond Pricing'!$C$6/'Bond Pricing'!$C$7))</f>
        <v>0</v>
      </c>
      <c r="D38" s="19" t="n">
        <f aca="false">1/(1+'Bond Pricing'!$C$9/'Bond Pricing'!$C$7)^23</f>
        <v>0.535818738294081</v>
      </c>
      <c r="E38" s="18" t="n">
        <f aca="false">C38*D38</f>
        <v>0</v>
      </c>
      <c r="F38" s="18" t="n">
        <f aca="false">23*E38</f>
        <v>0</v>
      </c>
      <c r="G38" s="18" t="n">
        <f aca="false">23*(23+1)*E38</f>
        <v>0</v>
      </c>
    </row>
    <row r="39" customFormat="false" ht="15" hidden="false" customHeight="true" outlineLevel="0" collapsed="false">
      <c r="B39" s="5" t="n">
        <v>24</v>
      </c>
      <c r="C39" s="18" t="n">
        <f aca="false">IF(24&gt;'Bond Pricing'!$C$7*'Bond Pricing'!$C$8,0,IF(24='Bond Pricing'!$C$7*'Bond Pricing'!$C$8,'Bond Pricing'!$C$5*'Bond Pricing'!$C$6/'Bond Pricing'!$C$7+'Bond Pricing'!$C$5,'Bond Pricing'!$C$5*'Bond Pricing'!$C$6/'Bond Pricing'!$C$7))</f>
        <v>0</v>
      </c>
      <c r="D39" s="19" t="n">
        <f aca="false">1/(1+'Bond Pricing'!$C$9/'Bond Pricing'!$C$7)^24</f>
        <v>0.521478090797159</v>
      </c>
      <c r="E39" s="18" t="n">
        <f aca="false">C39*D39</f>
        <v>0</v>
      </c>
      <c r="F39" s="18" t="n">
        <f aca="false">24*E39</f>
        <v>0</v>
      </c>
      <c r="G39" s="18" t="n">
        <f aca="false">24*(24+1)*E39</f>
        <v>0</v>
      </c>
    </row>
    <row r="40" customFormat="false" ht="15" hidden="false" customHeight="true" outlineLevel="0" collapsed="false">
      <c r="B40" s="5" t="n">
        <v>25</v>
      </c>
      <c r="C40" s="18" t="n">
        <f aca="false">IF(25&gt;'Bond Pricing'!$C$7*'Bond Pricing'!$C$8,0,IF(25='Bond Pricing'!$C$7*'Bond Pricing'!$C$8,'Bond Pricing'!$C$5*'Bond Pricing'!$C$6/'Bond Pricing'!$C$7+'Bond Pricing'!$C$5,'Bond Pricing'!$C$5*'Bond Pricing'!$C$6/'Bond Pricing'!$C$7))</f>
        <v>0</v>
      </c>
      <c r="D40" s="19" t="n">
        <f aca="false">1/(1+'Bond Pricing'!$C$9/'Bond Pricing'!$C$7)^25</f>
        <v>0.507521256250276</v>
      </c>
      <c r="E40" s="18" t="n">
        <f aca="false">C40*D40</f>
        <v>0</v>
      </c>
      <c r="F40" s="18" t="n">
        <f aca="false">25*E40</f>
        <v>0</v>
      </c>
      <c r="G40" s="18" t="n">
        <f aca="false">25*(25+1)*E40</f>
        <v>0</v>
      </c>
    </row>
    <row r="41" customFormat="false" ht="15" hidden="false" customHeight="true" outlineLevel="0" collapsed="false">
      <c r="B41" s="5" t="n">
        <v>26</v>
      </c>
      <c r="C41" s="18" t="n">
        <f aca="false">IF(26&gt;'Bond Pricing'!$C$7*'Bond Pricing'!$C$8,0,IF(26='Bond Pricing'!$C$7*'Bond Pricing'!$C$8,'Bond Pricing'!$C$5*'Bond Pricing'!$C$6/'Bond Pricing'!$C$7+'Bond Pricing'!$C$5,'Bond Pricing'!$C$5*'Bond Pricing'!$C$6/'Bond Pricing'!$C$7))</f>
        <v>0</v>
      </c>
      <c r="D41" s="19" t="n">
        <f aca="false">1/(1+'Bond Pricing'!$C$9/'Bond Pricing'!$C$7)^26</f>
        <v>0.493937962287373</v>
      </c>
      <c r="E41" s="18" t="n">
        <f aca="false">C41*D41</f>
        <v>0</v>
      </c>
      <c r="F41" s="18" t="n">
        <f aca="false">26*E41</f>
        <v>0</v>
      </c>
      <c r="G41" s="18" t="n">
        <f aca="false">26*(26+1)*E41</f>
        <v>0</v>
      </c>
    </row>
    <row r="42" customFormat="false" ht="15" hidden="false" customHeight="true" outlineLevel="0" collapsed="false">
      <c r="B42" s="5" t="n">
        <v>27</v>
      </c>
      <c r="C42" s="18" t="n">
        <f aca="false">IF(27&gt;'Bond Pricing'!$C$7*'Bond Pricing'!$C$8,0,IF(27='Bond Pricing'!$C$7*'Bond Pricing'!$C$8,'Bond Pricing'!$C$5*'Bond Pricing'!$C$6/'Bond Pricing'!$C$7+'Bond Pricing'!$C$5,'Bond Pricing'!$C$5*'Bond Pricing'!$C$6/'Bond Pricing'!$C$7))</f>
        <v>0</v>
      </c>
      <c r="D42" s="19" t="n">
        <f aca="false">1/(1+'Bond Pricing'!$C$9/'Bond Pricing'!$C$7)^27</f>
        <v>0.480718211471896</v>
      </c>
      <c r="E42" s="18" t="n">
        <f aca="false">C42*D42</f>
        <v>0</v>
      </c>
      <c r="F42" s="18" t="n">
        <f aca="false">27*E42</f>
        <v>0</v>
      </c>
      <c r="G42" s="18" t="n">
        <f aca="false">27*(27+1)*E42</f>
        <v>0</v>
      </c>
    </row>
    <row r="43" customFormat="false" ht="15" hidden="false" customHeight="true" outlineLevel="0" collapsed="false">
      <c r="B43" s="5" t="n">
        <v>28</v>
      </c>
      <c r="C43" s="18" t="n">
        <f aca="false">IF(28&gt;'Bond Pricing'!$C$7*'Bond Pricing'!$C$8,0,IF(28='Bond Pricing'!$C$7*'Bond Pricing'!$C$8,'Bond Pricing'!$C$5*'Bond Pricing'!$C$6/'Bond Pricing'!$C$7+'Bond Pricing'!$C$5,'Bond Pricing'!$C$5*'Bond Pricing'!$C$6/'Bond Pricing'!$C$7))</f>
        <v>0</v>
      </c>
      <c r="D43" s="19" t="n">
        <f aca="false">1/(1+'Bond Pricing'!$C$9/'Bond Pricing'!$C$7)^28</f>
        <v>0.467852273938585</v>
      </c>
      <c r="E43" s="18" t="n">
        <f aca="false">C43*D43</f>
        <v>0</v>
      </c>
      <c r="F43" s="18" t="n">
        <f aca="false">28*E43</f>
        <v>0</v>
      </c>
      <c r="G43" s="18" t="n">
        <f aca="false">28*(28+1)*E43</f>
        <v>0</v>
      </c>
    </row>
    <row r="44" customFormat="false" ht="15" hidden="false" customHeight="true" outlineLevel="0" collapsed="false">
      <c r="B44" s="5" t="n">
        <v>29</v>
      </c>
      <c r="C44" s="18" t="n">
        <f aca="false">IF(29&gt;'Bond Pricing'!$C$7*'Bond Pricing'!$C$8,0,IF(29='Bond Pricing'!$C$7*'Bond Pricing'!$C$8,'Bond Pricing'!$C$5*'Bond Pricing'!$C$6/'Bond Pricing'!$C$7+'Bond Pricing'!$C$5,'Bond Pricing'!$C$5*'Bond Pricing'!$C$6/'Bond Pricing'!$C$7))</f>
        <v>0</v>
      </c>
      <c r="D44" s="19" t="n">
        <f aca="false">1/(1+'Bond Pricing'!$C$9/'Bond Pricing'!$C$7)^29</f>
        <v>0.455330680232199</v>
      </c>
      <c r="E44" s="18" t="n">
        <f aca="false">C44*D44</f>
        <v>0</v>
      </c>
      <c r="F44" s="18" t="n">
        <f aca="false">29*E44</f>
        <v>0</v>
      </c>
      <c r="G44" s="18" t="n">
        <f aca="false">29*(29+1)*E44</f>
        <v>0</v>
      </c>
    </row>
    <row r="45" customFormat="false" ht="15" hidden="false" customHeight="true" outlineLevel="0" collapsed="false">
      <c r="B45" s="5" t="n">
        <v>30</v>
      </c>
      <c r="C45" s="18" t="n">
        <f aca="false">IF(30&gt;'Bond Pricing'!$C$7*'Bond Pricing'!$C$8,0,IF(30='Bond Pricing'!$C$7*'Bond Pricing'!$C$8,'Bond Pricing'!$C$5*'Bond Pricing'!$C$6/'Bond Pricing'!$C$7+'Bond Pricing'!$C$5,'Bond Pricing'!$C$5*'Bond Pricing'!$C$6/'Bond Pricing'!$C$7))</f>
        <v>0</v>
      </c>
      <c r="D45" s="19" t="n">
        <f aca="false">1/(1+'Bond Pricing'!$C$9/'Bond Pricing'!$C$7)^30</f>
        <v>0.443144214337907</v>
      </c>
      <c r="E45" s="18" t="n">
        <f aca="false">C45*D45</f>
        <v>0</v>
      </c>
      <c r="F45" s="18" t="n">
        <f aca="false">30*E45</f>
        <v>0</v>
      </c>
      <c r="G45" s="18" t="n">
        <f aca="false">30*(30+1)*E45</f>
        <v>0</v>
      </c>
    </row>
    <row r="46" customFormat="false" ht="15" hidden="false" customHeight="true" outlineLevel="0" collapsed="false">
      <c r="B46" s="5" t="n">
        <v>31</v>
      </c>
      <c r="C46" s="18" t="n">
        <f aca="false">IF(31&gt;'Bond Pricing'!$C$7*'Bond Pricing'!$C$8,0,IF(31='Bond Pricing'!$C$7*'Bond Pricing'!$C$8,'Bond Pricing'!$C$5*'Bond Pricing'!$C$6/'Bond Pricing'!$C$7+'Bond Pricing'!$C$5,'Bond Pricing'!$C$5*'Bond Pricing'!$C$6/'Bond Pricing'!$C$7))</f>
        <v>0</v>
      </c>
      <c r="D46" s="19" t="n">
        <f aca="false">1/(1+'Bond Pricing'!$C$9/'Bond Pricing'!$C$7)^31</f>
        <v>0.431283906898206</v>
      </c>
      <c r="E46" s="18" t="n">
        <f aca="false">C46*D46</f>
        <v>0</v>
      </c>
      <c r="F46" s="18" t="n">
        <f aca="false">31*E46</f>
        <v>0</v>
      </c>
      <c r="G46" s="18" t="n">
        <f aca="false">31*(31+1)*E46</f>
        <v>0</v>
      </c>
    </row>
    <row r="47" customFormat="false" ht="15" hidden="false" customHeight="true" outlineLevel="0" collapsed="false">
      <c r="B47" s="5" t="n">
        <v>32</v>
      </c>
      <c r="C47" s="18" t="n">
        <f aca="false">IF(32&gt;'Bond Pricing'!$C$7*'Bond Pricing'!$C$8,0,IF(32='Bond Pricing'!$C$7*'Bond Pricing'!$C$8,'Bond Pricing'!$C$5*'Bond Pricing'!$C$6/'Bond Pricing'!$C$7+'Bond Pricing'!$C$5,'Bond Pricing'!$C$5*'Bond Pricing'!$C$6/'Bond Pricing'!$C$7))</f>
        <v>0</v>
      </c>
      <c r="D47" s="19" t="n">
        <f aca="false">1/(1+'Bond Pricing'!$C$9/'Bond Pricing'!$C$7)^32</f>
        <v>0.419741028611393</v>
      </c>
      <c r="E47" s="18" t="n">
        <f aca="false">C47*D47</f>
        <v>0</v>
      </c>
      <c r="F47" s="18" t="n">
        <f aca="false">32*E47</f>
        <v>0</v>
      </c>
      <c r="G47" s="18" t="n">
        <f aca="false">32*(32+1)*E47</f>
        <v>0</v>
      </c>
    </row>
    <row r="48" customFormat="false" ht="15" hidden="false" customHeight="true" outlineLevel="0" collapsed="false">
      <c r="B48" s="5" t="n">
        <v>33</v>
      </c>
      <c r="C48" s="18" t="n">
        <f aca="false">IF(33&gt;'Bond Pricing'!$C$7*'Bond Pricing'!$C$8,0,IF(33='Bond Pricing'!$C$7*'Bond Pricing'!$C$8,'Bond Pricing'!$C$5*'Bond Pricing'!$C$6/'Bond Pricing'!$C$7+'Bond Pricing'!$C$5,'Bond Pricing'!$C$5*'Bond Pricing'!$C$6/'Bond Pricing'!$C$7))</f>
        <v>0</v>
      </c>
      <c r="D48" s="19" t="n">
        <f aca="false">1/(1+'Bond Pricing'!$C$9/'Bond Pricing'!$C$7)^33</f>
        <v>0.408507083806709</v>
      </c>
      <c r="E48" s="18" t="n">
        <f aca="false">C48*D48</f>
        <v>0</v>
      </c>
      <c r="F48" s="18" t="n">
        <f aca="false">33*E48</f>
        <v>0</v>
      </c>
      <c r="G48" s="18" t="n">
        <f aca="false">33*(33+1)*E48</f>
        <v>0</v>
      </c>
    </row>
    <row r="49" customFormat="false" ht="15" hidden="false" customHeight="true" outlineLevel="0" collapsed="false">
      <c r="B49" s="5" t="n">
        <v>34</v>
      </c>
      <c r="C49" s="18" t="n">
        <f aca="false">IF(34&gt;'Bond Pricing'!$C$7*'Bond Pricing'!$C$8,0,IF(34='Bond Pricing'!$C$7*'Bond Pricing'!$C$8,'Bond Pricing'!$C$5*'Bond Pricing'!$C$6/'Bond Pricing'!$C$7+'Bond Pricing'!$C$5,'Bond Pricing'!$C$5*'Bond Pricing'!$C$6/'Bond Pricing'!$C$7))</f>
        <v>0</v>
      </c>
      <c r="D49" s="19" t="n">
        <f aca="false">1/(1+'Bond Pricing'!$C$9/'Bond Pricing'!$C$7)^34</f>
        <v>0.397573804191444</v>
      </c>
      <c r="E49" s="18" t="n">
        <f aca="false">C49*D49</f>
        <v>0</v>
      </c>
      <c r="F49" s="18" t="n">
        <f aca="false">34*E49</f>
        <v>0</v>
      </c>
      <c r="G49" s="18" t="n">
        <f aca="false">34*(34+1)*E49</f>
        <v>0</v>
      </c>
    </row>
    <row r="50" customFormat="false" ht="15" hidden="false" customHeight="true" outlineLevel="0" collapsed="false">
      <c r="B50" s="5" t="n">
        <v>35</v>
      </c>
      <c r="C50" s="18" t="n">
        <f aca="false">IF(35&gt;'Bond Pricing'!$C$7*'Bond Pricing'!$C$8,0,IF(35='Bond Pricing'!$C$7*'Bond Pricing'!$C$8,'Bond Pricing'!$C$5*'Bond Pricing'!$C$6/'Bond Pricing'!$C$7+'Bond Pricing'!$C$5,'Bond Pricing'!$C$5*'Bond Pricing'!$C$6/'Bond Pricing'!$C$7))</f>
        <v>0</v>
      </c>
      <c r="D50" s="19" t="n">
        <f aca="false">1/(1+'Bond Pricing'!$C$9/'Bond Pricing'!$C$7)^35</f>
        <v>0.386933142765395</v>
      </c>
      <c r="E50" s="18" t="n">
        <f aca="false">C50*D50</f>
        <v>0</v>
      </c>
      <c r="F50" s="18" t="n">
        <f aca="false">35*E50</f>
        <v>0</v>
      </c>
      <c r="G50" s="18" t="n">
        <f aca="false">35*(35+1)*E50</f>
        <v>0</v>
      </c>
    </row>
    <row r="51" customFormat="false" ht="15" hidden="false" customHeight="true" outlineLevel="0" collapsed="false">
      <c r="B51" s="5" t="n">
        <v>36</v>
      </c>
      <c r="C51" s="18" t="n">
        <f aca="false">IF(36&gt;'Bond Pricing'!$C$7*'Bond Pricing'!$C$8,0,IF(36='Bond Pricing'!$C$7*'Bond Pricing'!$C$8,'Bond Pricing'!$C$5*'Bond Pricing'!$C$6/'Bond Pricing'!$C$7+'Bond Pricing'!$C$5,'Bond Pricing'!$C$5*'Bond Pricing'!$C$6/'Bond Pricing'!$C$7))</f>
        <v>0</v>
      </c>
      <c r="D51" s="19" t="n">
        <f aca="false">1/(1+'Bond Pricing'!$C$9/'Bond Pricing'!$C$7)^36</f>
        <v>0.376577267898195</v>
      </c>
      <c r="E51" s="18" t="n">
        <f aca="false">C51*D51</f>
        <v>0</v>
      </c>
      <c r="F51" s="18" t="n">
        <f aca="false">36*E51</f>
        <v>0</v>
      </c>
      <c r="G51" s="18" t="n">
        <f aca="false">36*(36+1)*E51</f>
        <v>0</v>
      </c>
    </row>
    <row r="52" customFormat="false" ht="15" hidden="false" customHeight="true" outlineLevel="0" collapsed="false">
      <c r="B52" s="5" t="n">
        <v>37</v>
      </c>
      <c r="C52" s="18" t="n">
        <f aca="false">IF(37&gt;'Bond Pricing'!$C$7*'Bond Pricing'!$C$8,0,IF(37='Bond Pricing'!$C$7*'Bond Pricing'!$C$8,'Bond Pricing'!$C$5*'Bond Pricing'!$C$6/'Bond Pricing'!$C$7+'Bond Pricing'!$C$5,'Bond Pricing'!$C$5*'Bond Pricing'!$C$6/'Bond Pricing'!$C$7))</f>
        <v>0</v>
      </c>
      <c r="D52" s="19" t="n">
        <f aca="false">1/(1+'Bond Pricing'!$C$9/'Bond Pricing'!$C$7)^37</f>
        <v>0.366498557565153</v>
      </c>
      <c r="E52" s="18" t="n">
        <f aca="false">C52*D52</f>
        <v>0</v>
      </c>
      <c r="F52" s="18" t="n">
        <f aca="false">37*E52</f>
        <v>0</v>
      </c>
      <c r="G52" s="18" t="n">
        <f aca="false">37*(37+1)*E52</f>
        <v>0</v>
      </c>
    </row>
    <row r="53" customFormat="false" ht="15" hidden="false" customHeight="true" outlineLevel="0" collapsed="false">
      <c r="B53" s="5" t="n">
        <v>38</v>
      </c>
      <c r="C53" s="18" t="n">
        <f aca="false">IF(38&gt;'Bond Pricing'!$C$7*'Bond Pricing'!$C$8,0,IF(38='Bond Pricing'!$C$7*'Bond Pricing'!$C$8,'Bond Pricing'!$C$5*'Bond Pricing'!$C$6/'Bond Pricing'!$C$7+'Bond Pricing'!$C$5,'Bond Pricing'!$C$5*'Bond Pricing'!$C$6/'Bond Pricing'!$C$7))</f>
        <v>0</v>
      </c>
      <c r="D53" s="19" t="n">
        <f aca="false">1/(1+'Bond Pricing'!$C$9/'Bond Pricing'!$C$7)^38</f>
        <v>0.356689593737375</v>
      </c>
      <c r="E53" s="18" t="n">
        <f aca="false">C53*D53</f>
        <v>0</v>
      </c>
      <c r="F53" s="18" t="n">
        <f aca="false">38*E53</f>
        <v>0</v>
      </c>
      <c r="G53" s="18" t="n">
        <f aca="false">38*(38+1)*E53</f>
        <v>0</v>
      </c>
    </row>
    <row r="54" customFormat="false" ht="15" hidden="false" customHeight="true" outlineLevel="0" collapsed="false">
      <c r="B54" s="5" t="n">
        <v>39</v>
      </c>
      <c r="C54" s="18" t="n">
        <f aca="false">IF(39&gt;'Bond Pricing'!$C$7*'Bond Pricing'!$C$8,0,IF(39='Bond Pricing'!$C$7*'Bond Pricing'!$C$8,'Bond Pricing'!$C$5*'Bond Pricing'!$C$6/'Bond Pricing'!$C$7+'Bond Pricing'!$C$5,'Bond Pricing'!$C$5*'Bond Pricing'!$C$6/'Bond Pricing'!$C$7))</f>
        <v>0</v>
      </c>
      <c r="D54" s="19" t="n">
        <f aca="false">1/(1+'Bond Pricing'!$C$9/'Bond Pricing'!$C$7)^39</f>
        <v>0.34714315692202</v>
      </c>
      <c r="E54" s="18" t="n">
        <f aca="false">C54*D54</f>
        <v>0</v>
      </c>
      <c r="F54" s="18" t="n">
        <f aca="false">39*E54</f>
        <v>0</v>
      </c>
      <c r="G54" s="18" t="n">
        <f aca="false">39*(39+1)*E54</f>
        <v>0</v>
      </c>
    </row>
    <row r="55" customFormat="false" ht="15" hidden="false" customHeight="true" outlineLevel="0" collapsed="false">
      <c r="B55" s="5" t="n">
        <v>40</v>
      </c>
      <c r="C55" s="18" t="n">
        <f aca="false">IF(40&gt;'Bond Pricing'!$C$7*'Bond Pricing'!$C$8,0,IF(40='Bond Pricing'!$C$7*'Bond Pricing'!$C$8,'Bond Pricing'!$C$5*'Bond Pricing'!$C$6/'Bond Pricing'!$C$7+'Bond Pricing'!$C$5,'Bond Pricing'!$C$5*'Bond Pricing'!$C$6/'Bond Pricing'!$C$7))</f>
        <v>0</v>
      </c>
      <c r="D55" s="19" t="n">
        <f aca="false">1/(1+'Bond Pricing'!$C$9/'Bond Pricing'!$C$7)^40</f>
        <v>0.337852220848681</v>
      </c>
      <c r="E55" s="18" t="n">
        <f aca="false">C55*D55</f>
        <v>0</v>
      </c>
      <c r="F55" s="18" t="n">
        <f aca="false">40*E55</f>
        <v>0</v>
      </c>
      <c r="G55" s="18" t="n">
        <f aca="false">40*(40+1)*E55</f>
        <v>0</v>
      </c>
    </row>
    <row r="56" customFormat="false" ht="15" hidden="false" customHeight="true" outlineLevel="0" collapsed="false">
      <c r="B56" s="5" t="n">
        <v>41</v>
      </c>
      <c r="C56" s="18" t="n">
        <f aca="false">IF(41&gt;'Bond Pricing'!$C$7*'Bond Pricing'!$C$8,0,IF(41='Bond Pricing'!$C$7*'Bond Pricing'!$C$8,'Bond Pricing'!$C$5*'Bond Pricing'!$C$6/'Bond Pricing'!$C$7+'Bond Pricing'!$C$5,'Bond Pricing'!$C$5*'Bond Pricing'!$C$6/'Bond Pricing'!$C$7))</f>
        <v>0</v>
      </c>
      <c r="D56" s="19" t="n">
        <f aca="false">1/(1+'Bond Pricing'!$C$9/'Bond Pricing'!$C$7)^41</f>
        <v>0.328809947297986</v>
      </c>
      <c r="E56" s="18" t="n">
        <f aca="false">C56*D56</f>
        <v>0</v>
      </c>
      <c r="F56" s="18" t="n">
        <f aca="false">41*E56</f>
        <v>0</v>
      </c>
      <c r="G56" s="18" t="n">
        <f aca="false">41*(41+1)*E56</f>
        <v>0</v>
      </c>
    </row>
    <row r="57" customFormat="false" ht="15" hidden="false" customHeight="true" outlineLevel="0" collapsed="false">
      <c r="B57" s="5" t="n">
        <v>42</v>
      </c>
      <c r="C57" s="18" t="n">
        <f aca="false">IF(42&gt;'Bond Pricing'!$C$7*'Bond Pricing'!$C$8,0,IF(42='Bond Pricing'!$C$7*'Bond Pricing'!$C$8,'Bond Pricing'!$C$5*'Bond Pricing'!$C$6/'Bond Pricing'!$C$7+'Bond Pricing'!$C$5,'Bond Pricing'!$C$5*'Bond Pricing'!$C$6/'Bond Pricing'!$C$7))</f>
        <v>0</v>
      </c>
      <c r="D57" s="19" t="n">
        <f aca="false">1/(1+'Bond Pricing'!$C$9/'Bond Pricing'!$C$7)^42</f>
        <v>0.3200096810686</v>
      </c>
      <c r="E57" s="18" t="n">
        <f aca="false">C57*D57</f>
        <v>0</v>
      </c>
      <c r="F57" s="18" t="n">
        <f aca="false">42*E57</f>
        <v>0</v>
      </c>
      <c r="G57" s="18" t="n">
        <f aca="false">42*(42+1)*E57</f>
        <v>0</v>
      </c>
    </row>
    <row r="58" customFormat="false" ht="15" hidden="false" customHeight="true" outlineLevel="0" collapsed="false">
      <c r="B58" s="5" t="n">
        <v>43</v>
      </c>
      <c r="C58" s="18" t="n">
        <f aca="false">IF(43&gt;'Bond Pricing'!$C$7*'Bond Pricing'!$C$8,0,IF(43='Bond Pricing'!$C$7*'Bond Pricing'!$C$8,'Bond Pricing'!$C$5*'Bond Pricing'!$C$6/'Bond Pricing'!$C$7+'Bond Pricing'!$C$5,'Bond Pricing'!$C$5*'Bond Pricing'!$C$6/'Bond Pricing'!$C$7))</f>
        <v>0</v>
      </c>
      <c r="D58" s="19" t="n">
        <f aca="false">1/(1+'Bond Pricing'!$C$9/'Bond Pricing'!$C$7)^43</f>
        <v>0.311444945078929</v>
      </c>
      <c r="E58" s="18" t="n">
        <f aca="false">C58*D58</f>
        <v>0</v>
      </c>
      <c r="F58" s="18" t="n">
        <f aca="false">43*E58</f>
        <v>0</v>
      </c>
      <c r="G58" s="18" t="n">
        <f aca="false">43*(43+1)*E58</f>
        <v>0</v>
      </c>
    </row>
    <row r="59" customFormat="false" ht="15" hidden="false" customHeight="true" outlineLevel="0" collapsed="false">
      <c r="B59" s="5" t="n">
        <v>44</v>
      </c>
      <c r="C59" s="18" t="n">
        <f aca="false">IF(44&gt;'Bond Pricing'!$C$7*'Bond Pricing'!$C$8,0,IF(44='Bond Pricing'!$C$7*'Bond Pricing'!$C$8,'Bond Pricing'!$C$5*'Bond Pricing'!$C$6/'Bond Pricing'!$C$7+'Bond Pricing'!$C$5,'Bond Pricing'!$C$5*'Bond Pricing'!$C$6/'Bond Pricing'!$C$7))</f>
        <v>0</v>
      </c>
      <c r="D59" s="19" t="n">
        <f aca="false">1/(1+'Bond Pricing'!$C$9/'Bond Pricing'!$C$7)^44</f>
        <v>0.303109435599931</v>
      </c>
      <c r="E59" s="18" t="n">
        <f aca="false">C59*D59</f>
        <v>0</v>
      </c>
      <c r="F59" s="18" t="n">
        <f aca="false">44*E59</f>
        <v>0</v>
      </c>
      <c r="G59" s="18" t="n">
        <f aca="false">44*(44+1)*E59</f>
        <v>0</v>
      </c>
    </row>
    <row r="60" customFormat="false" ht="15" hidden="false" customHeight="true" outlineLevel="0" collapsed="false">
      <c r="B60" s="5" t="n">
        <v>45</v>
      </c>
      <c r="C60" s="18" t="n">
        <f aca="false">IF(45&gt;'Bond Pricing'!$C$7*'Bond Pricing'!$C$8,0,IF(45='Bond Pricing'!$C$7*'Bond Pricing'!$C$8,'Bond Pricing'!$C$5*'Bond Pricing'!$C$6/'Bond Pricing'!$C$7+'Bond Pricing'!$C$5,'Bond Pricing'!$C$5*'Bond Pricing'!$C$6/'Bond Pricing'!$C$7))</f>
        <v>0</v>
      </c>
      <c r="D60" s="19" t="n">
        <f aca="false">1/(1+'Bond Pricing'!$C$9/'Bond Pricing'!$C$7)^45</f>
        <v>0.294997017615505</v>
      </c>
      <c r="E60" s="18" t="n">
        <f aca="false">C60*D60</f>
        <v>0</v>
      </c>
      <c r="F60" s="18" t="n">
        <f aca="false">45*E60</f>
        <v>0</v>
      </c>
      <c r="G60" s="18" t="n">
        <f aca="false">45*(45+1)*E60</f>
        <v>0</v>
      </c>
    </row>
    <row r="61" customFormat="false" ht="15" hidden="false" customHeight="true" outlineLevel="0" collapsed="false">
      <c r="B61" s="5" t="n">
        <v>46</v>
      </c>
      <c r="C61" s="18" t="n">
        <f aca="false">IF(46&gt;'Bond Pricing'!$C$7*'Bond Pricing'!$C$8,0,IF(46='Bond Pricing'!$C$7*'Bond Pricing'!$C$8,'Bond Pricing'!$C$5*'Bond Pricing'!$C$6/'Bond Pricing'!$C$7+'Bond Pricing'!$C$5,'Bond Pricing'!$C$5*'Bond Pricing'!$C$6/'Bond Pricing'!$C$7))</f>
        <v>0</v>
      </c>
      <c r="D61" s="19" t="n">
        <f aca="false">1/(1+'Bond Pricing'!$C$9/'Bond Pricing'!$C$7)^46</f>
        <v>0.287101720307061</v>
      </c>
      <c r="E61" s="18" t="n">
        <f aca="false">C61*D61</f>
        <v>0</v>
      </c>
      <c r="F61" s="18" t="n">
        <f aca="false">46*E61</f>
        <v>0</v>
      </c>
      <c r="G61" s="18" t="n">
        <f aca="false">46*(46+1)*E61</f>
        <v>0</v>
      </c>
    </row>
    <row r="62" customFormat="false" ht="15" hidden="false" customHeight="true" outlineLevel="0" collapsed="false">
      <c r="B62" s="5" t="n">
        <v>47</v>
      </c>
      <c r="C62" s="18" t="n">
        <f aca="false">IF(47&gt;'Bond Pricing'!$C$7*'Bond Pricing'!$C$8,0,IF(47='Bond Pricing'!$C$7*'Bond Pricing'!$C$8,'Bond Pricing'!$C$5*'Bond Pricing'!$C$6/'Bond Pricing'!$C$7+'Bond Pricing'!$C$5,'Bond Pricing'!$C$5*'Bond Pricing'!$C$6/'Bond Pricing'!$C$7))</f>
        <v>0</v>
      </c>
      <c r="D62" s="19" t="n">
        <f aca="false">1/(1+'Bond Pricing'!$C$9/'Bond Pricing'!$C$7)^47</f>
        <v>0.27941773265894</v>
      </c>
      <c r="E62" s="18" t="n">
        <f aca="false">C62*D62</f>
        <v>0</v>
      </c>
      <c r="F62" s="18" t="n">
        <f aca="false">47*E62</f>
        <v>0</v>
      </c>
      <c r="G62" s="18" t="n">
        <f aca="false">47*(47+1)*E62</f>
        <v>0</v>
      </c>
    </row>
    <row r="63" customFormat="false" ht="15" hidden="false" customHeight="true" outlineLevel="0" collapsed="false">
      <c r="B63" s="5" t="n">
        <v>48</v>
      </c>
      <c r="C63" s="18" t="n">
        <f aca="false">IF(48&gt;'Bond Pricing'!$C$7*'Bond Pricing'!$C$8,0,IF(48='Bond Pricing'!$C$7*'Bond Pricing'!$C$8,'Bond Pricing'!$C$5*'Bond Pricing'!$C$6/'Bond Pricing'!$C$7+'Bond Pricing'!$C$5,'Bond Pricing'!$C$5*'Bond Pricing'!$C$6/'Bond Pricing'!$C$7))</f>
        <v>0</v>
      </c>
      <c r="D63" s="19" t="n">
        <f aca="false">1/(1+'Bond Pricing'!$C$9/'Bond Pricing'!$C$7)^48</f>
        <v>0.27193939918145</v>
      </c>
      <c r="E63" s="18" t="n">
        <f aca="false">C63*D63</f>
        <v>0</v>
      </c>
      <c r="F63" s="18" t="n">
        <f aca="false">48*E63</f>
        <v>0</v>
      </c>
      <c r="G63" s="18" t="n">
        <f aca="false">48*(48+1)*E63</f>
        <v>0</v>
      </c>
    </row>
    <row r="64" customFormat="false" ht="15" hidden="false" customHeight="true" outlineLevel="0" collapsed="false">
      <c r="B64" s="5" t="n">
        <v>49</v>
      </c>
      <c r="C64" s="18" t="n">
        <f aca="false">IF(49&gt;'Bond Pricing'!$C$7*'Bond Pricing'!$C$8,0,IF(49='Bond Pricing'!$C$7*'Bond Pricing'!$C$8,'Bond Pricing'!$C$5*'Bond Pricing'!$C$6/'Bond Pricing'!$C$7+'Bond Pricing'!$C$5,'Bond Pricing'!$C$5*'Bond Pricing'!$C$6/'Bond Pricing'!$C$7))</f>
        <v>0</v>
      </c>
      <c r="D64" s="19" t="n">
        <f aca="false">1/(1+'Bond Pricing'!$C$9/'Bond Pricing'!$C$7)^49</f>
        <v>0.26466121574837</v>
      </c>
      <c r="E64" s="18" t="n">
        <f aca="false">C64*D64</f>
        <v>0</v>
      </c>
      <c r="F64" s="18" t="n">
        <f aca="false">49*E64</f>
        <v>0</v>
      </c>
      <c r="G64" s="18" t="n">
        <f aca="false">49*(49+1)*E64</f>
        <v>0</v>
      </c>
    </row>
    <row r="65" customFormat="false" ht="15" hidden="false" customHeight="true" outlineLevel="0" collapsed="false">
      <c r="B65" s="5" t="n">
        <v>50</v>
      </c>
      <c r="C65" s="18" t="n">
        <f aca="false">IF(50&gt;'Bond Pricing'!$C$7*'Bond Pricing'!$C$8,0,IF(50='Bond Pricing'!$C$7*'Bond Pricing'!$C$8,'Bond Pricing'!$C$5*'Bond Pricing'!$C$6/'Bond Pricing'!$C$7+'Bond Pricing'!$C$5,'Bond Pricing'!$C$5*'Bond Pricing'!$C$6/'Bond Pricing'!$C$7))</f>
        <v>0</v>
      </c>
      <c r="D65" s="19" t="n">
        <f aca="false">1/(1+'Bond Pricing'!$C$9/'Bond Pricing'!$C$7)^50</f>
        <v>0.257577825545858</v>
      </c>
      <c r="E65" s="18" t="n">
        <f aca="false">C65*D65</f>
        <v>0</v>
      </c>
      <c r="F65" s="18" t="n">
        <f aca="false">50*E65</f>
        <v>0</v>
      </c>
      <c r="G65" s="18" t="n">
        <f aca="false">50*(50+1)*E65</f>
        <v>0</v>
      </c>
    </row>
    <row r="66" customFormat="false" ht="15" hidden="false" customHeight="true" outlineLevel="0" collapsed="false">
      <c r="B66" s="5" t="n">
        <v>51</v>
      </c>
      <c r="C66" s="18" t="n">
        <f aca="false">IF(51&gt;'Bond Pricing'!$C$7*'Bond Pricing'!$C$8,0,IF(51='Bond Pricing'!$C$7*'Bond Pricing'!$C$8,'Bond Pricing'!$C$5*'Bond Pricing'!$C$6/'Bond Pricing'!$C$7+'Bond Pricing'!$C$5,'Bond Pricing'!$C$5*'Bond Pricing'!$C$6/'Bond Pricing'!$C$7))</f>
        <v>0</v>
      </c>
      <c r="D66" s="19" t="n">
        <f aca="false">1/(1+'Bond Pricing'!$C$9/'Bond Pricing'!$C$7)^51</f>
        <v>0.250684015129789</v>
      </c>
      <c r="E66" s="18" t="n">
        <f aca="false">C66*D66</f>
        <v>0</v>
      </c>
      <c r="F66" s="18" t="n">
        <f aca="false">51*E66</f>
        <v>0</v>
      </c>
      <c r="G66" s="18" t="n">
        <f aca="false">51*(51+1)*E66</f>
        <v>0</v>
      </c>
    </row>
    <row r="67" customFormat="false" ht="15" hidden="false" customHeight="true" outlineLevel="0" collapsed="false">
      <c r="B67" s="5" t="n">
        <v>52</v>
      </c>
      <c r="C67" s="18" t="n">
        <f aca="false">IF(52&gt;'Bond Pricing'!$C$7*'Bond Pricing'!$C$8,0,IF(52='Bond Pricing'!$C$7*'Bond Pricing'!$C$8,'Bond Pricing'!$C$5*'Bond Pricing'!$C$6/'Bond Pricing'!$C$7+'Bond Pricing'!$C$5,'Bond Pricing'!$C$5*'Bond Pricing'!$C$6/'Bond Pricing'!$C$7))</f>
        <v>0</v>
      </c>
      <c r="D67" s="19" t="n">
        <f aca="false">1/(1+'Bond Pricing'!$C$9/'Bond Pricing'!$C$7)^52</f>
        <v>0.243974710588603</v>
      </c>
      <c r="E67" s="18" t="n">
        <f aca="false">C67*D67</f>
        <v>0</v>
      </c>
      <c r="F67" s="18" t="n">
        <f aca="false">52*E67</f>
        <v>0</v>
      </c>
      <c r="G67" s="18" t="n">
        <f aca="false">52*(52+1)*E67</f>
        <v>0</v>
      </c>
    </row>
    <row r="68" customFormat="false" ht="15" hidden="false" customHeight="true" outlineLevel="0" collapsed="false">
      <c r="B68" s="5" t="n">
        <v>53</v>
      </c>
      <c r="C68" s="18" t="n">
        <f aca="false">IF(53&gt;'Bond Pricing'!$C$7*'Bond Pricing'!$C$8,0,IF(53='Bond Pricing'!$C$7*'Bond Pricing'!$C$8,'Bond Pricing'!$C$5*'Bond Pricing'!$C$6/'Bond Pricing'!$C$7+'Bond Pricing'!$C$5,'Bond Pricing'!$C$5*'Bond Pricing'!$C$6/'Bond Pricing'!$C$7))</f>
        <v>0</v>
      </c>
      <c r="D68" s="19" t="n">
        <f aca="false">1/(1+'Bond Pricing'!$C$9/'Bond Pricing'!$C$7)^53</f>
        <v>0.237444973808859</v>
      </c>
      <c r="E68" s="18" t="n">
        <f aca="false">C68*D68</f>
        <v>0</v>
      </c>
      <c r="F68" s="18" t="n">
        <f aca="false">53*E68</f>
        <v>0</v>
      </c>
      <c r="G68" s="18" t="n">
        <f aca="false">53*(53+1)*E68</f>
        <v>0</v>
      </c>
    </row>
    <row r="69" customFormat="false" ht="15" hidden="false" customHeight="true" outlineLevel="0" collapsed="false">
      <c r="B69" s="5" t="n">
        <v>54</v>
      </c>
      <c r="C69" s="18" t="n">
        <f aca="false">IF(54&gt;'Bond Pricing'!$C$7*'Bond Pricing'!$C$8,0,IF(54='Bond Pricing'!$C$7*'Bond Pricing'!$C$8,'Bond Pricing'!$C$5*'Bond Pricing'!$C$6/'Bond Pricing'!$C$7+'Bond Pricing'!$C$5,'Bond Pricing'!$C$5*'Bond Pricing'!$C$6/'Bond Pricing'!$C$7))</f>
        <v>0</v>
      </c>
      <c r="D69" s="19" t="n">
        <f aca="false">1/(1+'Bond Pricing'!$C$9/'Bond Pricing'!$C$7)^54</f>
        <v>0.231089998840739</v>
      </c>
      <c r="E69" s="18" t="n">
        <f aca="false">C69*D69</f>
        <v>0</v>
      </c>
      <c r="F69" s="18" t="n">
        <f aca="false">54*E69</f>
        <v>0</v>
      </c>
      <c r="G69" s="18" t="n">
        <f aca="false">54*(54+1)*E69</f>
        <v>0</v>
      </c>
    </row>
    <row r="70" customFormat="false" ht="15" hidden="false" customHeight="true" outlineLevel="0" collapsed="false">
      <c r="B70" s="5" t="n">
        <v>55</v>
      </c>
      <c r="C70" s="18" t="n">
        <f aca="false">IF(55&gt;'Bond Pricing'!$C$7*'Bond Pricing'!$C$8,0,IF(55='Bond Pricing'!$C$7*'Bond Pricing'!$C$8,'Bond Pricing'!$C$5*'Bond Pricing'!$C$6/'Bond Pricing'!$C$7+'Bond Pricing'!$C$5,'Bond Pricing'!$C$5*'Bond Pricing'!$C$6/'Bond Pricing'!$C$7))</f>
        <v>0</v>
      </c>
      <c r="D70" s="19" t="n">
        <f aca="false">1/(1+'Bond Pricing'!$C$9/'Bond Pricing'!$C$7)^55</f>
        <v>0.224905108360816</v>
      </c>
      <c r="E70" s="18" t="n">
        <f aca="false">C70*D70</f>
        <v>0</v>
      </c>
      <c r="F70" s="18" t="n">
        <f aca="false">55*E70</f>
        <v>0</v>
      </c>
      <c r="G70" s="18" t="n">
        <f aca="false">55*(55+1)*E70</f>
        <v>0</v>
      </c>
    </row>
    <row r="71" customFormat="false" ht="15" hidden="false" customHeight="true" outlineLevel="0" collapsed="false">
      <c r="B71" s="5" t="n">
        <v>56</v>
      </c>
      <c r="C71" s="18" t="n">
        <f aca="false">IF(56&gt;'Bond Pricing'!$C$7*'Bond Pricing'!$C$8,0,IF(56='Bond Pricing'!$C$7*'Bond Pricing'!$C$8,'Bond Pricing'!$C$5*'Bond Pricing'!$C$6/'Bond Pricing'!$C$7+'Bond Pricing'!$C$5,'Bond Pricing'!$C$5*'Bond Pricing'!$C$6/'Bond Pricing'!$C$7))</f>
        <v>0</v>
      </c>
      <c r="D71" s="19" t="n">
        <f aca="false">1/(1+'Bond Pricing'!$C$9/'Bond Pricing'!$C$7)^56</f>
        <v>0.218885750229505</v>
      </c>
      <c r="E71" s="18" t="n">
        <f aca="false">C71*D71</f>
        <v>0</v>
      </c>
      <c r="F71" s="18" t="n">
        <f aca="false">56*E71</f>
        <v>0</v>
      </c>
      <c r="G71" s="18" t="n">
        <f aca="false">56*(56+1)*E71</f>
        <v>0</v>
      </c>
    </row>
    <row r="72" customFormat="false" ht="15" hidden="false" customHeight="true" outlineLevel="0" collapsed="false">
      <c r="B72" s="5" t="n">
        <v>57</v>
      </c>
      <c r="C72" s="18" t="n">
        <f aca="false">IF(57&gt;'Bond Pricing'!$C$7*'Bond Pricing'!$C$8,0,IF(57='Bond Pricing'!$C$7*'Bond Pricing'!$C$8,'Bond Pricing'!$C$5*'Bond Pricing'!$C$6/'Bond Pricing'!$C$7+'Bond Pricing'!$C$5,'Bond Pricing'!$C$5*'Bond Pricing'!$C$6/'Bond Pricing'!$C$7))</f>
        <v>0</v>
      </c>
      <c r="D72" s="19" t="n">
        <f aca="false">1/(1+'Bond Pricing'!$C$9/'Bond Pricing'!$C$7)^57</f>
        <v>0.213027494140637</v>
      </c>
      <c r="E72" s="18" t="n">
        <f aca="false">C72*D72</f>
        <v>0</v>
      </c>
      <c r="F72" s="18" t="n">
        <f aca="false">57*E72</f>
        <v>0</v>
      </c>
      <c r="G72" s="18" t="n">
        <f aca="false">57*(57+1)*E72</f>
        <v>0</v>
      </c>
    </row>
    <row r="73" customFormat="false" ht="15" hidden="false" customHeight="true" outlineLevel="0" collapsed="false">
      <c r="B73" s="5" t="n">
        <v>58</v>
      </c>
      <c r="C73" s="18" t="n">
        <f aca="false">IF(58&gt;'Bond Pricing'!$C$7*'Bond Pricing'!$C$8,0,IF(58='Bond Pricing'!$C$7*'Bond Pricing'!$C$8,'Bond Pricing'!$C$5*'Bond Pricing'!$C$6/'Bond Pricing'!$C$7+'Bond Pricing'!$C$5,'Bond Pricing'!$C$5*'Bond Pricing'!$C$6/'Bond Pricing'!$C$7))</f>
        <v>0</v>
      </c>
      <c r="D73" s="19" t="n">
        <f aca="false">1/(1+'Bond Pricing'!$C$9/'Bond Pricing'!$C$7)^58</f>
        <v>0.207326028360718</v>
      </c>
      <c r="E73" s="18" t="n">
        <f aca="false">C73*D73</f>
        <v>0</v>
      </c>
      <c r="F73" s="18" t="n">
        <f aca="false">58*E73</f>
        <v>0</v>
      </c>
      <c r="G73" s="18" t="n">
        <f aca="false">58*(58+1)*E73</f>
        <v>0</v>
      </c>
    </row>
    <row r="74" customFormat="false" ht="15" hidden="false" customHeight="true" outlineLevel="0" collapsed="false">
      <c r="B74" s="5" t="n">
        <v>59</v>
      </c>
      <c r="C74" s="18" t="n">
        <f aca="false">IF(59&gt;'Bond Pricing'!$C$7*'Bond Pricing'!$C$8,0,IF(59='Bond Pricing'!$C$7*'Bond Pricing'!$C$8,'Bond Pricing'!$C$5*'Bond Pricing'!$C$6/'Bond Pricing'!$C$7+'Bond Pricing'!$C$5,'Bond Pricing'!$C$5*'Bond Pricing'!$C$6/'Bond Pricing'!$C$7))</f>
        <v>0</v>
      </c>
      <c r="D74" s="19" t="n">
        <f aca="false">1/(1+'Bond Pricing'!$C$9/'Bond Pricing'!$C$7)^59</f>
        <v>0.201777156555443</v>
      </c>
      <c r="E74" s="18" t="n">
        <f aca="false">C74*D74</f>
        <v>0</v>
      </c>
      <c r="F74" s="18" t="n">
        <f aca="false">59*E74</f>
        <v>0</v>
      </c>
      <c r="G74" s="18" t="n">
        <f aca="false">59*(59+1)*E74</f>
        <v>0</v>
      </c>
    </row>
    <row r="75" customFormat="false" ht="15" hidden="false" customHeight="true" outlineLevel="0" collapsed="false">
      <c r="B75" s="5" t="n">
        <v>60</v>
      </c>
      <c r="C75" s="18" t="n">
        <f aca="false">IF(60&gt;'Bond Pricing'!$C$7*'Bond Pricing'!$C$8,0,IF(60='Bond Pricing'!$C$7*'Bond Pricing'!$C$8,'Bond Pricing'!$C$5*'Bond Pricing'!$C$6/'Bond Pricing'!$C$7+'Bond Pricing'!$C$5,'Bond Pricing'!$C$5*'Bond Pricing'!$C$6/'Bond Pricing'!$C$7))</f>
        <v>0</v>
      </c>
      <c r="D75" s="19" t="n">
        <f aca="false">1/(1+'Bond Pricing'!$C$9/'Bond Pricing'!$C$7)^60</f>
        <v>0.196376794701161</v>
      </c>
      <c r="E75" s="18" t="n">
        <f aca="false">C75*D75</f>
        <v>0</v>
      </c>
      <c r="F75" s="18" t="n">
        <f aca="false">60*E75</f>
        <v>0</v>
      </c>
      <c r="G75" s="18" t="n">
        <f aca="false">60*(60+1)*E75</f>
        <v>0</v>
      </c>
    </row>
    <row r="76" customFormat="false" ht="15" hidden="false" customHeight="true" outlineLevel="0" collapsed="false">
      <c r="B76" s="5" t="n">
        <v>61</v>
      </c>
      <c r="C76" s="18" t="n">
        <f aca="false">IF(61&gt;'Bond Pricing'!$C$7*'Bond Pricing'!$C$8,0,IF(61='Bond Pricing'!$C$7*'Bond Pricing'!$C$8,'Bond Pricing'!$C$5*'Bond Pricing'!$C$6/'Bond Pricing'!$C$7+'Bond Pricing'!$C$5,'Bond Pricing'!$C$5*'Bond Pricing'!$C$6/'Bond Pricing'!$C$7))</f>
        <v>0</v>
      </c>
      <c r="D76" s="19" t="n">
        <f aca="false">1/(1+'Bond Pricing'!$C$9/'Bond Pricing'!$C$7)^61</f>
        <v>0.191120968078989</v>
      </c>
      <c r="E76" s="18" t="n">
        <f aca="false">C76*D76</f>
        <v>0</v>
      </c>
      <c r="F76" s="18" t="n">
        <f aca="false">61*E76</f>
        <v>0</v>
      </c>
      <c r="G76" s="18" t="n">
        <f aca="false">61*(61+1)*E76</f>
        <v>0</v>
      </c>
    </row>
    <row r="77" customFormat="false" ht="15" hidden="false" customHeight="true" outlineLevel="0" collapsed="false">
      <c r="B77" s="5" t="n">
        <v>62</v>
      </c>
      <c r="C77" s="18" t="n">
        <f aca="false">IF(62&gt;'Bond Pricing'!$C$7*'Bond Pricing'!$C$8,0,IF(62='Bond Pricing'!$C$7*'Bond Pricing'!$C$8,'Bond Pricing'!$C$5*'Bond Pricing'!$C$6/'Bond Pricing'!$C$7+'Bond Pricing'!$C$5,'Bond Pricing'!$C$5*'Bond Pricing'!$C$6/'Bond Pricing'!$C$7))</f>
        <v>0</v>
      </c>
      <c r="D77" s="19" t="n">
        <f aca="false">1/(1+'Bond Pricing'!$C$9/'Bond Pricing'!$C$7)^62</f>
        <v>0.186005808349381</v>
      </c>
      <c r="E77" s="18" t="n">
        <f aca="false">C77*D77</f>
        <v>0</v>
      </c>
      <c r="F77" s="18" t="n">
        <f aca="false">62*E77</f>
        <v>0</v>
      </c>
      <c r="G77" s="18" t="n">
        <f aca="false">62*(62+1)*E77</f>
        <v>0</v>
      </c>
    </row>
    <row r="78" customFormat="false" ht="15" hidden="false" customHeight="true" outlineLevel="0" collapsed="false">
      <c r="B78" s="5" t="n">
        <v>63</v>
      </c>
      <c r="C78" s="18" t="n">
        <f aca="false">IF(63&gt;'Bond Pricing'!$C$7*'Bond Pricing'!$C$8,0,IF(63='Bond Pricing'!$C$7*'Bond Pricing'!$C$8,'Bond Pricing'!$C$5*'Bond Pricing'!$C$6/'Bond Pricing'!$C$7+'Bond Pricing'!$C$5,'Bond Pricing'!$C$5*'Bond Pricing'!$C$6/'Bond Pricing'!$C$7))</f>
        <v>0</v>
      </c>
      <c r="D78" s="19" t="n">
        <f aca="false">1/(1+'Bond Pricing'!$C$9/'Bond Pricing'!$C$7)^63</f>
        <v>0.181027550704993</v>
      </c>
      <c r="E78" s="18" t="n">
        <f aca="false">C78*D78</f>
        <v>0</v>
      </c>
      <c r="F78" s="18" t="n">
        <f aca="false">63*E78</f>
        <v>0</v>
      </c>
      <c r="G78" s="18" t="n">
        <f aca="false">63*(63+1)*E78</f>
        <v>0</v>
      </c>
    </row>
    <row r="79" customFormat="false" ht="15" hidden="false" customHeight="true" outlineLevel="0" collapsed="false">
      <c r="B79" s="5" t="n">
        <v>64</v>
      </c>
      <c r="C79" s="18" t="n">
        <f aca="false">IF(64&gt;'Bond Pricing'!$C$7*'Bond Pricing'!$C$8,0,IF(64='Bond Pricing'!$C$7*'Bond Pricing'!$C$8,'Bond Pricing'!$C$5*'Bond Pricing'!$C$6/'Bond Pricing'!$C$7+'Bond Pricing'!$C$5,'Bond Pricing'!$C$5*'Bond Pricing'!$C$6/'Bond Pricing'!$C$7))</f>
        <v>0</v>
      </c>
      <c r="D79" s="19" t="n">
        <f aca="false">1/(1+'Bond Pricing'!$C$9/'Bond Pricing'!$C$7)^64</f>
        <v>0.17618253109975</v>
      </c>
      <c r="E79" s="18" t="n">
        <f aca="false">C79*D79</f>
        <v>0</v>
      </c>
      <c r="F79" s="18" t="n">
        <f aca="false">64*E79</f>
        <v>0</v>
      </c>
      <c r="G79" s="18" t="n">
        <f aca="false">64*(64+1)*E79</f>
        <v>0</v>
      </c>
    </row>
    <row r="80" customFormat="false" ht="15" hidden="false" customHeight="true" outlineLevel="0" collapsed="false">
      <c r="B80" s="5" t="n">
        <v>65</v>
      </c>
      <c r="C80" s="18" t="n">
        <f aca="false">IF(65&gt;'Bond Pricing'!$C$7*'Bond Pricing'!$C$8,0,IF(65='Bond Pricing'!$C$7*'Bond Pricing'!$C$8,'Bond Pricing'!$C$5*'Bond Pricing'!$C$6/'Bond Pricing'!$C$7+'Bond Pricing'!$C$5,'Bond Pricing'!$C$5*'Bond Pricing'!$C$6/'Bond Pricing'!$C$7))</f>
        <v>0</v>
      </c>
      <c r="D80" s="19" t="n">
        <f aca="false">1/(1+'Bond Pricing'!$C$9/'Bond Pricing'!$C$7)^65</f>
        <v>0.171467183552068</v>
      </c>
      <c r="E80" s="18" t="n">
        <f aca="false">C80*D80</f>
        <v>0</v>
      </c>
      <c r="F80" s="18" t="n">
        <f aca="false">65*E80</f>
        <v>0</v>
      </c>
      <c r="G80" s="18" t="n">
        <f aca="false">65*(65+1)*E80</f>
        <v>0</v>
      </c>
    </row>
    <row r="81" customFormat="false" ht="15" hidden="false" customHeight="true" outlineLevel="0" collapsed="false">
      <c r="B81" s="5" t="n">
        <v>66</v>
      </c>
      <c r="C81" s="18" t="n">
        <f aca="false">IF(66&gt;'Bond Pricing'!$C$7*'Bond Pricing'!$C$8,0,IF(66='Bond Pricing'!$C$7*'Bond Pricing'!$C$8,'Bond Pricing'!$C$5*'Bond Pricing'!$C$6/'Bond Pricing'!$C$7+'Bond Pricing'!$C$5,'Bond Pricing'!$C$5*'Bond Pricing'!$C$6/'Bond Pricing'!$C$7))</f>
        <v>0</v>
      </c>
      <c r="D81" s="19" t="n">
        <f aca="false">1/(1+'Bond Pricing'!$C$9/'Bond Pricing'!$C$7)^66</f>
        <v>0.166878037520261</v>
      </c>
      <c r="E81" s="18" t="n">
        <f aca="false">C81*D81</f>
        <v>0</v>
      </c>
      <c r="F81" s="18" t="n">
        <f aca="false">66*E81</f>
        <v>0</v>
      </c>
      <c r="G81" s="18" t="n">
        <f aca="false">66*(66+1)*E81</f>
        <v>0</v>
      </c>
    </row>
    <row r="82" customFormat="false" ht="15" hidden="false" customHeight="true" outlineLevel="0" collapsed="false">
      <c r="B82" s="5" t="n">
        <v>67</v>
      </c>
      <c r="C82" s="18" t="n">
        <f aca="false">IF(67&gt;'Bond Pricing'!$C$7*'Bond Pricing'!$C$8,0,IF(67='Bond Pricing'!$C$7*'Bond Pricing'!$C$8,'Bond Pricing'!$C$5*'Bond Pricing'!$C$6/'Bond Pricing'!$C$7+'Bond Pricing'!$C$5,'Bond Pricing'!$C$5*'Bond Pricing'!$C$6/'Bond Pricing'!$C$7))</f>
        <v>0</v>
      </c>
      <c r="D82" s="19" t="n">
        <f aca="false">1/(1+'Bond Pricing'!$C$9/'Bond Pricing'!$C$7)^67</f>
        <v>0.162411715348186</v>
      </c>
      <c r="E82" s="18" t="n">
        <f aca="false">C82*D82</f>
        <v>0</v>
      </c>
      <c r="F82" s="18" t="n">
        <f aca="false">67*E82</f>
        <v>0</v>
      </c>
      <c r="G82" s="18" t="n">
        <f aca="false">67*(67+1)*E82</f>
        <v>0</v>
      </c>
    </row>
    <row r="83" customFormat="false" ht="15" hidden="false" customHeight="true" outlineLevel="0" collapsed="false">
      <c r="B83" s="5" t="n">
        <v>68</v>
      </c>
      <c r="C83" s="18" t="n">
        <f aca="false">IF(68&gt;'Bond Pricing'!$C$7*'Bond Pricing'!$C$8,0,IF(68='Bond Pricing'!$C$7*'Bond Pricing'!$C$8,'Bond Pricing'!$C$5*'Bond Pricing'!$C$6/'Bond Pricing'!$C$7+'Bond Pricing'!$C$5,'Bond Pricing'!$C$5*'Bond Pricing'!$C$6/'Bond Pricing'!$C$7))</f>
        <v>0</v>
      </c>
      <c r="D83" s="19" t="n">
        <f aca="false">1/(1+'Bond Pricing'!$C$9/'Bond Pricing'!$C$7)^68</f>
        <v>0.158064929779256</v>
      </c>
      <c r="E83" s="18" t="n">
        <f aca="false">C83*D83</f>
        <v>0</v>
      </c>
      <c r="F83" s="18" t="n">
        <f aca="false">68*E83</f>
        <v>0</v>
      </c>
      <c r="G83" s="18" t="n">
        <f aca="false">68*(68+1)*E83</f>
        <v>0</v>
      </c>
    </row>
    <row r="84" customFormat="false" ht="15" hidden="false" customHeight="true" outlineLevel="0" collapsed="false">
      <c r="B84" s="5" t="n">
        <v>69</v>
      </c>
      <c r="C84" s="18" t="n">
        <f aca="false">IF(69&gt;'Bond Pricing'!$C$7*'Bond Pricing'!$C$8,0,IF(69='Bond Pricing'!$C$7*'Bond Pricing'!$C$8,'Bond Pricing'!$C$5*'Bond Pricing'!$C$6/'Bond Pricing'!$C$7+'Bond Pricing'!$C$5,'Bond Pricing'!$C$5*'Bond Pricing'!$C$6/'Bond Pricing'!$C$7))</f>
        <v>0</v>
      </c>
      <c r="D84" s="19" t="n">
        <f aca="false">1/(1+'Bond Pricing'!$C$9/'Bond Pricing'!$C$7)^69</f>
        <v>0.153834481536989</v>
      </c>
      <c r="E84" s="18" t="n">
        <f aca="false">C84*D84</f>
        <v>0</v>
      </c>
      <c r="F84" s="18" t="n">
        <f aca="false">69*E84</f>
        <v>0</v>
      </c>
      <c r="G84" s="18" t="n">
        <f aca="false">69*(69+1)*E84</f>
        <v>0</v>
      </c>
    </row>
    <row r="85" customFormat="false" ht="15" hidden="false" customHeight="true" outlineLevel="0" collapsed="false">
      <c r="B85" s="5" t="n">
        <v>70</v>
      </c>
      <c r="C85" s="18" t="n">
        <f aca="false">IF(70&gt;'Bond Pricing'!$C$7*'Bond Pricing'!$C$8,0,IF(70='Bond Pricing'!$C$7*'Bond Pricing'!$C$8,'Bond Pricing'!$C$5*'Bond Pricing'!$C$6/'Bond Pricing'!$C$7+'Bond Pricing'!$C$5,'Bond Pricing'!$C$5*'Bond Pricing'!$C$6/'Bond Pricing'!$C$7))</f>
        <v>0</v>
      </c>
      <c r="D85" s="19" t="n">
        <f aca="false">1/(1+'Bond Pricing'!$C$9/'Bond Pricing'!$C$7)^70</f>
        <v>0.149717256970306</v>
      </c>
      <c r="E85" s="18" t="n">
        <f aca="false">C85*D85</f>
        <v>0</v>
      </c>
      <c r="F85" s="18" t="n">
        <f aca="false">70*E85</f>
        <v>0</v>
      </c>
      <c r="G85" s="18" t="n">
        <f aca="false">70*(70+1)*E85</f>
        <v>0</v>
      </c>
    </row>
    <row r="86" customFormat="false" ht="15" hidden="false" customHeight="true" outlineLevel="0" collapsed="false">
      <c r="B86" s="5" t="n">
        <v>71</v>
      </c>
      <c r="C86" s="18" t="n">
        <f aca="false">IF(71&gt;'Bond Pricing'!$C$7*'Bond Pricing'!$C$8,0,IF(71='Bond Pricing'!$C$7*'Bond Pricing'!$C$8,'Bond Pricing'!$C$5*'Bond Pricing'!$C$6/'Bond Pricing'!$C$7+'Bond Pricing'!$C$5,'Bond Pricing'!$C$5*'Bond Pricing'!$C$6/'Bond Pricing'!$C$7))</f>
        <v>0</v>
      </c>
      <c r="D86" s="19" t="n">
        <f aca="false">1/(1+'Bond Pricing'!$C$9/'Bond Pricing'!$C$7)^71</f>
        <v>0.145710225761855</v>
      </c>
      <c r="E86" s="18" t="n">
        <f aca="false">C86*D86</f>
        <v>0</v>
      </c>
      <c r="F86" s="18" t="n">
        <f aca="false">71*E86</f>
        <v>0</v>
      </c>
      <c r="G86" s="18" t="n">
        <f aca="false">71*(71+1)*E86</f>
        <v>0</v>
      </c>
    </row>
    <row r="87" customFormat="false" ht="15" hidden="false" customHeight="true" outlineLevel="0" collapsed="false">
      <c r="B87" s="5" t="n">
        <v>72</v>
      </c>
      <c r="C87" s="18" t="n">
        <f aca="false">IF(72&gt;'Bond Pricing'!$C$7*'Bond Pricing'!$C$8,0,IF(72='Bond Pricing'!$C$7*'Bond Pricing'!$C$8,'Bond Pricing'!$C$5*'Bond Pricing'!$C$6/'Bond Pricing'!$C$7+'Bond Pricing'!$C$5,'Bond Pricing'!$C$5*'Bond Pricing'!$C$6/'Bond Pricing'!$C$7))</f>
        <v>0</v>
      </c>
      <c r="D87" s="19" t="n">
        <f aca="false">1/(1+'Bond Pricing'!$C$9/'Bond Pricing'!$C$7)^72</f>
        <v>0.141810438697669</v>
      </c>
      <c r="E87" s="18" t="n">
        <f aca="false">C87*D87</f>
        <v>0</v>
      </c>
      <c r="F87" s="18" t="n">
        <f aca="false">72*E87</f>
        <v>0</v>
      </c>
      <c r="G87" s="18" t="n">
        <f aca="false">72*(72+1)*E87</f>
        <v>0</v>
      </c>
    </row>
    <row r="88" customFormat="false" ht="15" hidden="false" customHeight="true" outlineLevel="0" collapsed="false">
      <c r="B88" s="5" t="n">
        <v>73</v>
      </c>
      <c r="C88" s="18" t="n">
        <f aca="false">IF(73&gt;'Bond Pricing'!$C$7*'Bond Pricing'!$C$8,0,IF(73='Bond Pricing'!$C$7*'Bond Pricing'!$C$8,'Bond Pricing'!$C$5*'Bond Pricing'!$C$6/'Bond Pricing'!$C$7+'Bond Pricing'!$C$5,'Bond Pricing'!$C$5*'Bond Pricing'!$C$6/'Bond Pricing'!$C$7))</f>
        <v>0</v>
      </c>
      <c r="D88" s="19" t="n">
        <f aca="false">1/(1+'Bond Pricing'!$C$9/'Bond Pricing'!$C$7)^73</f>
        <v>0.138015025496515</v>
      </c>
      <c r="E88" s="18" t="n">
        <f aca="false">C88*D88</f>
        <v>0</v>
      </c>
      <c r="F88" s="18" t="n">
        <f aca="false">73*E88</f>
        <v>0</v>
      </c>
      <c r="G88" s="18" t="n">
        <f aca="false">73*(73+1)*E88</f>
        <v>0</v>
      </c>
    </row>
    <row r="89" customFormat="false" ht="15" hidden="false" customHeight="true" outlineLevel="0" collapsed="false">
      <c r="B89" s="5" t="n">
        <v>74</v>
      </c>
      <c r="C89" s="18" t="n">
        <f aca="false">IF(74&gt;'Bond Pricing'!$C$7*'Bond Pricing'!$C$8,0,IF(74='Bond Pricing'!$C$7*'Bond Pricing'!$C$8,'Bond Pricing'!$C$5*'Bond Pricing'!$C$6/'Bond Pricing'!$C$7+'Bond Pricing'!$C$5,'Bond Pricing'!$C$5*'Bond Pricing'!$C$6/'Bond Pricing'!$C$7))</f>
        <v>0</v>
      </c>
      <c r="D89" s="19" t="n">
        <f aca="false">1/(1+'Bond Pricing'!$C$9/'Bond Pricing'!$C$7)^74</f>
        <v>0.134321192697338</v>
      </c>
      <c r="E89" s="18" t="n">
        <f aca="false">C89*D89</f>
        <v>0</v>
      </c>
      <c r="F89" s="18" t="n">
        <f aca="false">74*E89</f>
        <v>0</v>
      </c>
      <c r="G89" s="18" t="n">
        <f aca="false">74*(74+1)*E89</f>
        <v>0</v>
      </c>
    </row>
    <row r="90" customFormat="false" ht="15" hidden="false" customHeight="true" outlineLevel="0" collapsed="false">
      <c r="B90" s="5" t="n">
        <v>75</v>
      </c>
      <c r="C90" s="18" t="n">
        <f aca="false">IF(75&gt;'Bond Pricing'!$C$7*'Bond Pricing'!$C$8,0,IF(75='Bond Pricing'!$C$7*'Bond Pricing'!$C$8,'Bond Pricing'!$C$5*'Bond Pricing'!$C$6/'Bond Pricing'!$C$7+'Bond Pricing'!$C$5,'Bond Pricing'!$C$5*'Bond Pricing'!$C$6/'Bond Pricing'!$C$7))</f>
        <v>0</v>
      </c>
      <c r="D90" s="19" t="n">
        <f aca="false">1/(1+'Bond Pricing'!$C$9/'Bond Pricing'!$C$7)^75</f>
        <v>0.130726221603249</v>
      </c>
      <c r="E90" s="18" t="n">
        <f aca="false">C90*D90</f>
        <v>0</v>
      </c>
      <c r="F90" s="18" t="n">
        <f aca="false">75*E90</f>
        <v>0</v>
      </c>
      <c r="G90" s="18" t="n">
        <f aca="false">75*(75+1)*E90</f>
        <v>0</v>
      </c>
    </row>
    <row r="91" customFormat="false" ht="15" hidden="false" customHeight="true" outlineLevel="0" collapsed="false">
      <c r="B91" s="5" t="n">
        <v>76</v>
      </c>
      <c r="C91" s="18" t="n">
        <f aca="false">IF(76&gt;'Bond Pricing'!$C$7*'Bond Pricing'!$C$8,0,IF(76='Bond Pricing'!$C$7*'Bond Pricing'!$C$8,'Bond Pricing'!$C$5*'Bond Pricing'!$C$6/'Bond Pricing'!$C$7+'Bond Pricing'!$C$5,'Bond Pricing'!$C$5*'Bond Pricing'!$C$6/'Bond Pricing'!$C$7))</f>
        <v>0</v>
      </c>
      <c r="D91" s="19" t="n">
        <f aca="false">1/(1+'Bond Pricing'!$C$9/'Bond Pricing'!$C$7)^76</f>
        <v>0.127227466280534</v>
      </c>
      <c r="E91" s="18" t="n">
        <f aca="false">C91*D91</f>
        <v>0</v>
      </c>
      <c r="F91" s="18" t="n">
        <f aca="false">76*E91</f>
        <v>0</v>
      </c>
      <c r="G91" s="18" t="n">
        <f aca="false">76*(76+1)*E91</f>
        <v>0</v>
      </c>
    </row>
    <row r="92" customFormat="false" ht="15" hidden="false" customHeight="true" outlineLevel="0" collapsed="false">
      <c r="B92" s="5" t="n">
        <v>77</v>
      </c>
      <c r="C92" s="18" t="n">
        <f aca="false">IF(77&gt;'Bond Pricing'!$C$7*'Bond Pricing'!$C$8,0,IF(77='Bond Pricing'!$C$7*'Bond Pricing'!$C$8,'Bond Pricing'!$C$5*'Bond Pricing'!$C$6/'Bond Pricing'!$C$7+'Bond Pricing'!$C$5,'Bond Pricing'!$C$5*'Bond Pricing'!$C$6/'Bond Pricing'!$C$7))</f>
        <v>0</v>
      </c>
      <c r="D92" s="19" t="n">
        <f aca="false">1/(1+'Bond Pricing'!$C$9/'Bond Pricing'!$C$7)^77</f>
        <v>0.123822351611225</v>
      </c>
      <c r="E92" s="18" t="n">
        <f aca="false">C92*D92</f>
        <v>0</v>
      </c>
      <c r="F92" s="18" t="n">
        <f aca="false">77*E92</f>
        <v>0</v>
      </c>
      <c r="G92" s="18" t="n">
        <f aca="false">77*(77+1)*E92</f>
        <v>0</v>
      </c>
    </row>
    <row r="93" customFormat="false" ht="15" hidden="false" customHeight="true" outlineLevel="0" collapsed="false">
      <c r="B93" s="5" t="n">
        <v>78</v>
      </c>
      <c r="C93" s="18" t="n">
        <f aca="false">IF(78&gt;'Bond Pricing'!$C$7*'Bond Pricing'!$C$8,0,IF(78='Bond Pricing'!$C$7*'Bond Pricing'!$C$8,'Bond Pricing'!$C$5*'Bond Pricing'!$C$6/'Bond Pricing'!$C$7+'Bond Pricing'!$C$5,'Bond Pricing'!$C$5*'Bond Pricing'!$C$6/'Bond Pricing'!$C$7))</f>
        <v>0</v>
      </c>
      <c r="D93" s="19" t="n">
        <f aca="false">1/(1+'Bond Pricing'!$C$9/'Bond Pricing'!$C$7)^78</f>
        <v>0.120508371397786</v>
      </c>
      <c r="E93" s="18" t="n">
        <f aca="false">C93*D93</f>
        <v>0</v>
      </c>
      <c r="F93" s="18" t="n">
        <f aca="false">78*E93</f>
        <v>0</v>
      </c>
      <c r="G93" s="18" t="n">
        <f aca="false">78*(78+1)*E93</f>
        <v>0</v>
      </c>
    </row>
    <row r="94" customFormat="false" ht="15" hidden="false" customHeight="true" outlineLevel="0" collapsed="false">
      <c r="B94" s="5" t="n">
        <v>79</v>
      </c>
      <c r="C94" s="18" t="n">
        <f aca="false">IF(79&gt;'Bond Pricing'!$C$7*'Bond Pricing'!$C$8,0,IF(79='Bond Pricing'!$C$7*'Bond Pricing'!$C$8,'Bond Pricing'!$C$5*'Bond Pricing'!$C$6/'Bond Pricing'!$C$7+'Bond Pricing'!$C$5,'Bond Pricing'!$C$5*'Bond Pricing'!$C$6/'Bond Pricing'!$C$7))</f>
        <v>0</v>
      </c>
      <c r="D94" s="19" t="n">
        <f aca="false">1/(1+'Bond Pricing'!$C$9/'Bond Pricing'!$C$7)^79</f>
        <v>0.117283086518527</v>
      </c>
      <c r="E94" s="18" t="n">
        <f aca="false">C94*D94</f>
        <v>0</v>
      </c>
      <c r="F94" s="18" t="n">
        <f aca="false">79*E94</f>
        <v>0</v>
      </c>
      <c r="G94" s="18" t="n">
        <f aca="false">79*(79+1)*E94</f>
        <v>0</v>
      </c>
    </row>
    <row r="95" customFormat="false" ht="15" hidden="false" customHeight="true" outlineLevel="0" collapsed="false">
      <c r="B95" s="5" t="n">
        <v>80</v>
      </c>
      <c r="C95" s="18" t="n">
        <f aca="false">IF(80&gt;'Bond Pricing'!$C$7*'Bond Pricing'!$C$8,0,IF(80='Bond Pricing'!$C$7*'Bond Pricing'!$C$8,'Bond Pricing'!$C$5*'Bond Pricing'!$C$6/'Bond Pricing'!$C$7+'Bond Pricing'!$C$5,'Bond Pricing'!$C$5*'Bond Pricing'!$C$6/'Bond Pricing'!$C$7))</f>
        <v>0</v>
      </c>
      <c r="D95" s="19" t="n">
        <f aca="false">1/(1+'Bond Pricing'!$C$9/'Bond Pricing'!$C$7)^80</f>
        <v>0.114144123132386</v>
      </c>
      <c r="E95" s="18" t="n">
        <f aca="false">C95*D95</f>
        <v>0</v>
      </c>
      <c r="F95" s="18" t="n">
        <f aca="false">80*E95</f>
        <v>0</v>
      </c>
      <c r="G95" s="18" t="n">
        <f aca="false">80*(80+1)*E95</f>
        <v>0</v>
      </c>
    </row>
    <row r="96" customFormat="false" ht="15" hidden="false" customHeight="true" outlineLevel="0" collapsed="false">
      <c r="B96" s="5" t="n">
        <v>81</v>
      </c>
      <c r="C96" s="18" t="n">
        <f aca="false">IF(81&gt;'Bond Pricing'!$C$7*'Bond Pricing'!$C$8,0,IF(81='Bond Pricing'!$C$7*'Bond Pricing'!$C$8,'Bond Pricing'!$C$5*'Bond Pricing'!$C$6/'Bond Pricing'!$C$7+'Bond Pricing'!$C$5,'Bond Pricing'!$C$5*'Bond Pricing'!$C$6/'Bond Pricing'!$C$7))</f>
        <v>0</v>
      </c>
      <c r="D96" s="19" t="n">
        <f aca="false">1/(1+'Bond Pricing'!$C$9/'Bond Pricing'!$C$7)^81</f>
        <v>0.111089170931762</v>
      </c>
      <c r="E96" s="18" t="n">
        <f aca="false">C96*D96</f>
        <v>0</v>
      </c>
      <c r="F96" s="18" t="n">
        <f aca="false">81*E96</f>
        <v>0</v>
      </c>
      <c r="G96" s="18" t="n">
        <f aca="false">81*(81+1)*E96</f>
        <v>0</v>
      </c>
    </row>
    <row r="97" customFormat="false" ht="15" hidden="false" customHeight="true" outlineLevel="0" collapsed="false">
      <c r="B97" s="5" t="n">
        <v>82</v>
      </c>
      <c r="C97" s="18" t="n">
        <f aca="false">IF(82&gt;'Bond Pricing'!$C$7*'Bond Pricing'!$C$8,0,IF(82='Bond Pricing'!$C$7*'Bond Pricing'!$C$8,'Bond Pricing'!$C$5*'Bond Pricing'!$C$6/'Bond Pricing'!$C$7+'Bond Pricing'!$C$5,'Bond Pricing'!$C$5*'Bond Pricing'!$C$6/'Bond Pricing'!$C$7))</f>
        <v>0</v>
      </c>
      <c r="D97" s="19" t="n">
        <f aca="false">1/(1+'Bond Pricing'!$C$9/'Bond Pricing'!$C$7)^82</f>
        <v>0.108115981442105</v>
      </c>
      <c r="E97" s="18" t="n">
        <f aca="false">C97*D97</f>
        <v>0</v>
      </c>
      <c r="F97" s="18" t="n">
        <f aca="false">82*E97</f>
        <v>0</v>
      </c>
      <c r="G97" s="18" t="n">
        <f aca="false">82*(82+1)*E97</f>
        <v>0</v>
      </c>
    </row>
    <row r="98" customFormat="false" ht="15" hidden="false" customHeight="true" outlineLevel="0" collapsed="false">
      <c r="B98" s="5" t="n">
        <v>83</v>
      </c>
      <c r="C98" s="18" t="n">
        <f aca="false">IF(83&gt;'Bond Pricing'!$C$7*'Bond Pricing'!$C$8,0,IF(83='Bond Pricing'!$C$7*'Bond Pricing'!$C$8,'Bond Pricing'!$C$5*'Bond Pricing'!$C$6/'Bond Pricing'!$C$7+'Bond Pricing'!$C$5,'Bond Pricing'!$C$5*'Bond Pricing'!$C$6/'Bond Pricing'!$C$7))</f>
        <v>0</v>
      </c>
      <c r="D98" s="19" t="n">
        <f aca="false">1/(1+'Bond Pricing'!$C$9/'Bond Pricing'!$C$7)^83</f>
        <v>0.105222366367012</v>
      </c>
      <c r="E98" s="18" t="n">
        <f aca="false">C98*D98</f>
        <v>0</v>
      </c>
      <c r="F98" s="18" t="n">
        <f aca="false">83*E98</f>
        <v>0</v>
      </c>
      <c r="G98" s="18" t="n">
        <f aca="false">83*(83+1)*E98</f>
        <v>0</v>
      </c>
    </row>
    <row r="99" customFormat="false" ht="15" hidden="false" customHeight="true" outlineLevel="0" collapsed="false">
      <c r="B99" s="5" t="n">
        <v>84</v>
      </c>
      <c r="C99" s="18" t="n">
        <f aca="false">IF(84&gt;'Bond Pricing'!$C$7*'Bond Pricing'!$C$8,0,IF(84='Bond Pricing'!$C$7*'Bond Pricing'!$C$8,'Bond Pricing'!$C$5*'Bond Pricing'!$C$6/'Bond Pricing'!$C$7+'Bond Pricing'!$C$5,'Bond Pricing'!$C$5*'Bond Pricing'!$C$6/'Bond Pricing'!$C$7))</f>
        <v>0</v>
      </c>
      <c r="D99" s="19" t="n">
        <f aca="false">1/(1+'Bond Pricing'!$C$9/'Bond Pricing'!$C$7)^84</f>
        <v>0.102406195977627</v>
      </c>
      <c r="E99" s="18" t="n">
        <f aca="false">C99*D99</f>
        <v>0</v>
      </c>
      <c r="F99" s="18" t="n">
        <f aca="false">84*E99</f>
        <v>0</v>
      </c>
      <c r="G99" s="18" t="n">
        <f aca="false">84*(84+1)*E99</f>
        <v>0</v>
      </c>
    </row>
    <row r="100" customFormat="false" ht="15" hidden="false" customHeight="true" outlineLevel="0" collapsed="false">
      <c r="B100" s="5" t="n">
        <v>85</v>
      </c>
      <c r="C100" s="18" t="n">
        <f aca="false">IF(85&gt;'Bond Pricing'!$C$7*'Bond Pricing'!$C$8,0,IF(85='Bond Pricing'!$C$7*'Bond Pricing'!$C$8,'Bond Pricing'!$C$5*'Bond Pricing'!$C$6/'Bond Pricing'!$C$7+'Bond Pricing'!$C$5,'Bond Pricing'!$C$5*'Bond Pricing'!$C$6/'Bond Pricing'!$C$7))</f>
        <v>0</v>
      </c>
      <c r="D100" s="19" t="n">
        <f aca="false">1/(1+'Bond Pricing'!$C$9/'Bond Pricing'!$C$7)^85</f>
        <v>0.0996653975451358</v>
      </c>
      <c r="E100" s="18" t="n">
        <f aca="false">C100*D100</f>
        <v>0</v>
      </c>
      <c r="F100" s="18" t="n">
        <f aca="false">85*E100</f>
        <v>0</v>
      </c>
      <c r="G100" s="18" t="n">
        <f aca="false">85*(85+1)*E100</f>
        <v>0</v>
      </c>
    </row>
    <row r="101" customFormat="false" ht="15" hidden="false" customHeight="true" outlineLevel="0" collapsed="false">
      <c r="B101" s="5" t="n">
        <v>86</v>
      </c>
      <c r="C101" s="18" t="n">
        <f aca="false">IF(86&gt;'Bond Pricing'!$C$7*'Bond Pricing'!$C$8,0,IF(86='Bond Pricing'!$C$7*'Bond Pricing'!$C$8,'Bond Pricing'!$C$5*'Bond Pricing'!$C$6/'Bond Pricing'!$C$7+'Bond Pricing'!$C$5,'Bond Pricing'!$C$5*'Bond Pricing'!$C$6/'Bond Pricing'!$C$7))</f>
        <v>0</v>
      </c>
      <c r="D101" s="19" t="n">
        <f aca="false">1/(1+'Bond Pricing'!$C$9/'Bond Pricing'!$C$7)^86</f>
        <v>0.0969979538152173</v>
      </c>
      <c r="E101" s="18" t="n">
        <f aca="false">C101*D101</f>
        <v>0</v>
      </c>
      <c r="F101" s="18" t="n">
        <f aca="false">86*E101</f>
        <v>0</v>
      </c>
      <c r="G101" s="18" t="n">
        <f aca="false">86*(86+1)*E101</f>
        <v>0</v>
      </c>
    </row>
    <row r="102" customFormat="false" ht="15" hidden="false" customHeight="true" outlineLevel="0" collapsed="false">
      <c r="B102" s="5" t="n">
        <v>87</v>
      </c>
      <c r="C102" s="18" t="n">
        <f aca="false">IF(87&gt;'Bond Pricing'!$C$7*'Bond Pricing'!$C$8,0,IF(87='Bond Pricing'!$C$7*'Bond Pricing'!$C$8,'Bond Pricing'!$C$5*'Bond Pricing'!$C$6/'Bond Pricing'!$C$7+'Bond Pricing'!$C$5,'Bond Pricing'!$C$5*'Bond Pricing'!$C$6/'Bond Pricing'!$C$7))</f>
        <v>0</v>
      </c>
      <c r="D102" s="19" t="n">
        <f aca="false">1/(1+'Bond Pricing'!$C$9/'Bond Pricing'!$C$7)^87</f>
        <v>0.0944019015233258</v>
      </c>
      <c r="E102" s="18" t="n">
        <f aca="false">C102*D102</f>
        <v>0</v>
      </c>
      <c r="F102" s="18" t="n">
        <f aca="false">87*E102</f>
        <v>0</v>
      </c>
      <c r="G102" s="18" t="n">
        <f aca="false">87*(87+1)*E102</f>
        <v>0</v>
      </c>
    </row>
    <row r="103" customFormat="false" ht="15" hidden="false" customHeight="true" outlineLevel="0" collapsed="false">
      <c r="B103" s="5" t="n">
        <v>88</v>
      </c>
      <c r="C103" s="18" t="n">
        <f aca="false">IF(88&gt;'Bond Pricing'!$C$7*'Bond Pricing'!$C$8,0,IF(88='Bond Pricing'!$C$7*'Bond Pricing'!$C$8,'Bond Pricing'!$C$5*'Bond Pricing'!$C$6/'Bond Pricing'!$C$7+'Bond Pricing'!$C$5,'Bond Pricing'!$C$5*'Bond Pricing'!$C$6/'Bond Pricing'!$C$7))</f>
        <v>0</v>
      </c>
      <c r="D103" s="19" t="n">
        <f aca="false">1/(1+'Bond Pricing'!$C$9/'Bond Pricing'!$C$7)^88</f>
        <v>0.0918753299497088</v>
      </c>
      <c r="E103" s="18" t="n">
        <f aca="false">C103*D103</f>
        <v>0</v>
      </c>
      <c r="F103" s="18" t="n">
        <f aca="false">88*E103</f>
        <v>0</v>
      </c>
      <c r="G103" s="18" t="n">
        <f aca="false">88*(88+1)*E103</f>
        <v>0</v>
      </c>
    </row>
    <row r="104" customFormat="false" ht="15" hidden="false" customHeight="true" outlineLevel="0" collapsed="false">
      <c r="B104" s="5" t="n">
        <v>89</v>
      </c>
      <c r="C104" s="18" t="n">
        <f aca="false">IF(89&gt;'Bond Pricing'!$C$7*'Bond Pricing'!$C$8,0,IF(89='Bond Pricing'!$C$7*'Bond Pricing'!$C$8,'Bond Pricing'!$C$5*'Bond Pricing'!$C$6/'Bond Pricing'!$C$7+'Bond Pricing'!$C$5,'Bond Pricing'!$C$5*'Bond Pricing'!$C$6/'Bond Pricing'!$C$7))</f>
        <v>0</v>
      </c>
      <c r="D104" s="19" t="n">
        <f aca="false">1/(1+'Bond Pricing'!$C$9/'Bond Pricing'!$C$7)^89</f>
        <v>0.0894163795130986</v>
      </c>
      <c r="E104" s="18" t="n">
        <f aca="false">C104*D104</f>
        <v>0</v>
      </c>
      <c r="F104" s="18" t="n">
        <f aca="false">89*E104</f>
        <v>0</v>
      </c>
      <c r="G104" s="18" t="n">
        <f aca="false">89*(89+1)*E104</f>
        <v>0</v>
      </c>
    </row>
    <row r="105" customFormat="false" ht="15" hidden="false" customHeight="true" outlineLevel="0" collapsed="false">
      <c r="B105" s="5" t="n">
        <v>90</v>
      </c>
      <c r="C105" s="18" t="n">
        <f aca="false">IF(90&gt;'Bond Pricing'!$C$7*'Bond Pricing'!$C$8,0,IF(90='Bond Pricing'!$C$7*'Bond Pricing'!$C$8,'Bond Pricing'!$C$5*'Bond Pricing'!$C$6/'Bond Pricing'!$C$7+'Bond Pricing'!$C$5,'Bond Pricing'!$C$5*'Bond Pricing'!$C$6/'Bond Pricing'!$C$7))</f>
        <v>0</v>
      </c>
      <c r="D105" s="19" t="n">
        <f aca="false">1/(1+'Bond Pricing'!$C$9/'Bond Pricing'!$C$7)^90</f>
        <v>0.0870232404020424</v>
      </c>
      <c r="E105" s="18" t="n">
        <f aca="false">C105*D105</f>
        <v>0</v>
      </c>
      <c r="F105" s="18" t="n">
        <f aca="false">90*E105</f>
        <v>0</v>
      </c>
      <c r="G105" s="18" t="n">
        <f aca="false">90*(90+1)*E105</f>
        <v>0</v>
      </c>
    </row>
    <row r="106" customFormat="false" ht="15" hidden="false" customHeight="true" outlineLevel="0" collapsed="false">
      <c r="B106" s="5" t="n">
        <v>91</v>
      </c>
      <c r="C106" s="18" t="n">
        <f aca="false">IF(91&gt;'Bond Pricing'!$C$7*'Bond Pricing'!$C$8,0,IF(91='Bond Pricing'!$C$7*'Bond Pricing'!$C$8,'Bond Pricing'!$C$5*'Bond Pricing'!$C$6/'Bond Pricing'!$C$7+'Bond Pricing'!$C$5,'Bond Pricing'!$C$5*'Bond Pricing'!$C$6/'Bond Pricing'!$C$7))</f>
        <v>0</v>
      </c>
      <c r="D106" s="19" t="n">
        <f aca="false">1/(1+'Bond Pricing'!$C$9/'Bond Pricing'!$C$7)^91</f>
        <v>0.0846941512428637</v>
      </c>
      <c r="E106" s="18" t="n">
        <f aca="false">C106*D106</f>
        <v>0</v>
      </c>
      <c r="F106" s="18" t="n">
        <f aca="false">91*E106</f>
        <v>0</v>
      </c>
      <c r="G106" s="18" t="n">
        <f aca="false">91*(91+1)*E106</f>
        <v>0</v>
      </c>
    </row>
    <row r="107" customFormat="false" ht="15" hidden="false" customHeight="true" outlineLevel="0" collapsed="false">
      <c r="B107" s="5" t="n">
        <v>92</v>
      </c>
      <c r="C107" s="18" t="n">
        <f aca="false">IF(92&gt;'Bond Pricing'!$C$7*'Bond Pricing'!$C$8,0,IF(92='Bond Pricing'!$C$7*'Bond Pricing'!$C$8,'Bond Pricing'!$C$5*'Bond Pricing'!$C$6/'Bond Pricing'!$C$7+'Bond Pricing'!$C$5,'Bond Pricing'!$C$5*'Bond Pricing'!$C$6/'Bond Pricing'!$C$7))</f>
        <v>0</v>
      </c>
      <c r="D107" s="19" t="n">
        <f aca="false">1/(1+'Bond Pricing'!$C$9/'Bond Pricing'!$C$7)^92</f>
        <v>0.0824273978032736</v>
      </c>
      <c r="E107" s="18" t="n">
        <f aca="false">C107*D107</f>
        <v>0</v>
      </c>
      <c r="F107" s="18" t="n">
        <f aca="false">92*E107</f>
        <v>0</v>
      </c>
      <c r="G107" s="18" t="n">
        <f aca="false">92*(92+1)*E107</f>
        <v>0</v>
      </c>
    </row>
    <row r="108" customFormat="false" ht="15" hidden="false" customHeight="true" outlineLevel="0" collapsed="false">
      <c r="B108" s="5" t="n">
        <v>93</v>
      </c>
      <c r="C108" s="18" t="n">
        <f aca="false">IF(93&gt;'Bond Pricing'!$C$7*'Bond Pricing'!$C$8,0,IF(93='Bond Pricing'!$C$7*'Bond Pricing'!$C$8,'Bond Pricing'!$C$5*'Bond Pricing'!$C$6/'Bond Pricing'!$C$7+'Bond Pricing'!$C$5,'Bond Pricing'!$C$5*'Bond Pricing'!$C$6/'Bond Pricing'!$C$7))</f>
        <v>0</v>
      </c>
      <c r="D108" s="19" t="n">
        <f aca="false">1/(1+'Bond Pricing'!$C$9/'Bond Pricing'!$C$7)^93</f>
        <v>0.0802213117306799</v>
      </c>
      <c r="E108" s="18" t="n">
        <f aca="false">C108*D108</f>
        <v>0</v>
      </c>
      <c r="F108" s="18" t="n">
        <f aca="false">93*E108</f>
        <v>0</v>
      </c>
      <c r="G108" s="18" t="n">
        <f aca="false">93*(93+1)*E108</f>
        <v>0</v>
      </c>
    </row>
    <row r="109" customFormat="false" ht="15" hidden="false" customHeight="true" outlineLevel="0" collapsed="false">
      <c r="B109" s="5" t="n">
        <v>94</v>
      </c>
      <c r="C109" s="18" t="n">
        <f aca="false">IF(94&gt;'Bond Pricing'!$C$7*'Bond Pricing'!$C$8,0,IF(94='Bond Pricing'!$C$7*'Bond Pricing'!$C$8,'Bond Pricing'!$C$5*'Bond Pricing'!$C$6/'Bond Pricing'!$C$7+'Bond Pricing'!$C$5,'Bond Pricing'!$C$5*'Bond Pricing'!$C$6/'Bond Pricing'!$C$7))</f>
        <v>0</v>
      </c>
      <c r="D109" s="19" t="n">
        <f aca="false">1/(1+'Bond Pricing'!$C$9/'Bond Pricing'!$C$7)^94</f>
        <v>0.0780742693242627</v>
      </c>
      <c r="E109" s="18" t="n">
        <f aca="false">C109*D109</f>
        <v>0</v>
      </c>
      <c r="F109" s="18" t="n">
        <f aca="false">94*E109</f>
        <v>0</v>
      </c>
      <c r="G109" s="18" t="n">
        <f aca="false">94*(94+1)*E109</f>
        <v>0</v>
      </c>
    </row>
    <row r="110" customFormat="false" ht="15" hidden="false" customHeight="true" outlineLevel="0" collapsed="false">
      <c r="B110" s="5" t="n">
        <v>95</v>
      </c>
      <c r="C110" s="18" t="n">
        <f aca="false">IF(95&gt;'Bond Pricing'!$C$7*'Bond Pricing'!$C$8,0,IF(95='Bond Pricing'!$C$7*'Bond Pricing'!$C$8,'Bond Pricing'!$C$5*'Bond Pricing'!$C$6/'Bond Pricing'!$C$7+'Bond Pricing'!$C$5,'Bond Pricing'!$C$5*'Bond Pricing'!$C$6/'Bond Pricing'!$C$7))</f>
        <v>0</v>
      </c>
      <c r="D110" s="19" t="n">
        <f aca="false">1/(1+'Bond Pricing'!$C$9/'Bond Pricing'!$C$7)^95</f>
        <v>0.075984690339915</v>
      </c>
      <c r="E110" s="18" t="n">
        <f aca="false">C110*D110</f>
        <v>0</v>
      </c>
      <c r="F110" s="18" t="n">
        <f aca="false">95*E110</f>
        <v>0</v>
      </c>
      <c r="G110" s="18" t="n">
        <f aca="false">95*(95+1)*E110</f>
        <v>0</v>
      </c>
    </row>
    <row r="111" customFormat="false" ht="15" hidden="false" customHeight="true" outlineLevel="0" collapsed="false">
      <c r="B111" s="5" t="n">
        <v>96</v>
      </c>
      <c r="C111" s="18" t="n">
        <f aca="false">IF(96&gt;'Bond Pricing'!$C$7*'Bond Pricing'!$C$8,0,IF(96='Bond Pricing'!$C$7*'Bond Pricing'!$C$8,'Bond Pricing'!$C$5*'Bond Pricing'!$C$6/'Bond Pricing'!$C$7+'Bond Pricing'!$C$5,'Bond Pricing'!$C$5*'Bond Pricing'!$C$6/'Bond Pricing'!$C$7))</f>
        <v>0</v>
      </c>
      <c r="D111" s="19" t="n">
        <f aca="false">1/(1+'Bond Pricing'!$C$9/'Bond Pricing'!$C$7)^96</f>
        <v>0.0739510368271679</v>
      </c>
      <c r="E111" s="18" t="n">
        <f aca="false">C111*D111</f>
        <v>0</v>
      </c>
      <c r="F111" s="18" t="n">
        <f aca="false">96*E111</f>
        <v>0</v>
      </c>
      <c r="G111" s="18" t="n">
        <f aca="false">96*(96+1)*E111</f>
        <v>0</v>
      </c>
    </row>
    <row r="112" customFormat="false" ht="15" hidden="false" customHeight="true" outlineLevel="0" collapsed="false">
      <c r="B112" s="5" t="n">
        <v>97</v>
      </c>
      <c r="C112" s="18" t="n">
        <f aca="false">IF(97&gt;'Bond Pricing'!$C$7*'Bond Pricing'!$C$8,0,IF(97='Bond Pricing'!$C$7*'Bond Pricing'!$C$8,'Bond Pricing'!$C$5*'Bond Pricing'!$C$6/'Bond Pricing'!$C$7+'Bond Pricing'!$C$5,'Bond Pricing'!$C$5*'Bond Pricing'!$C$6/'Bond Pricing'!$C$7))</f>
        <v>0</v>
      </c>
      <c r="D112" s="19" t="n">
        <f aca="false">1/(1+'Bond Pricing'!$C$9/'Bond Pricing'!$C$7)^97</f>
        <v>0.0719718119972437</v>
      </c>
      <c r="E112" s="18" t="n">
        <f aca="false">C112*D112</f>
        <v>0</v>
      </c>
      <c r="F112" s="18" t="n">
        <f aca="false">97*E112</f>
        <v>0</v>
      </c>
      <c r="G112" s="18" t="n">
        <f aca="false">97*(97+1)*E112</f>
        <v>0</v>
      </c>
    </row>
    <row r="113" customFormat="false" ht="15" hidden="false" customHeight="true" outlineLevel="0" collapsed="false">
      <c r="B113" s="5" t="n">
        <v>98</v>
      </c>
      <c r="C113" s="18" t="n">
        <f aca="false">IF(98&gt;'Bond Pricing'!$C$7*'Bond Pricing'!$C$8,0,IF(98='Bond Pricing'!$C$7*'Bond Pricing'!$C$8,'Bond Pricing'!$C$5*'Bond Pricing'!$C$6/'Bond Pricing'!$C$7+'Bond Pricing'!$C$5,'Bond Pricing'!$C$5*'Bond Pricing'!$C$6/'Bond Pricing'!$C$7))</f>
        <v>0</v>
      </c>
      <c r="D113" s="19" t="n">
        <f aca="false">1/(1+'Bond Pricing'!$C$9/'Bond Pricing'!$C$7)^98</f>
        <v>0.0700455591214051</v>
      </c>
      <c r="E113" s="18" t="n">
        <f aca="false">C113*D113</f>
        <v>0</v>
      </c>
      <c r="F113" s="18" t="n">
        <f aca="false">98*E113</f>
        <v>0</v>
      </c>
      <c r="G113" s="18" t="n">
        <f aca="false">98*(98+1)*E113</f>
        <v>0</v>
      </c>
    </row>
    <row r="114" customFormat="false" ht="15" hidden="false" customHeight="true" outlineLevel="0" collapsed="false">
      <c r="B114" s="5" t="n">
        <v>99</v>
      </c>
      <c r="C114" s="18" t="n">
        <f aca="false">IF(99&gt;'Bond Pricing'!$C$7*'Bond Pricing'!$C$8,0,IF(99='Bond Pricing'!$C$7*'Bond Pricing'!$C$8,'Bond Pricing'!$C$5*'Bond Pricing'!$C$6/'Bond Pricing'!$C$7+'Bond Pricing'!$C$5,'Bond Pricing'!$C$5*'Bond Pricing'!$C$6/'Bond Pricing'!$C$7))</f>
        <v>0</v>
      </c>
      <c r="D114" s="19" t="n">
        <f aca="false">1/(1+'Bond Pricing'!$C$9/'Bond Pricing'!$C$7)^99</f>
        <v>0.0681708604587884</v>
      </c>
      <c r="E114" s="18" t="n">
        <f aca="false">C114*D114</f>
        <v>0</v>
      </c>
      <c r="F114" s="18" t="n">
        <f aca="false">99*E114</f>
        <v>0</v>
      </c>
      <c r="G114" s="18" t="n">
        <f aca="false">99*(99+1)*E114</f>
        <v>0</v>
      </c>
    </row>
    <row r="115" customFormat="false" ht="15" hidden="false" customHeight="true" outlineLevel="0" collapsed="false">
      <c r="B115" s="5" t="n">
        <v>100</v>
      </c>
      <c r="C115" s="18" t="n">
        <f aca="false">IF(100&gt;'Bond Pricing'!$C$7*'Bond Pricing'!$C$8,0,IF(100='Bond Pricing'!$C$7*'Bond Pricing'!$C$8,'Bond Pricing'!$C$5*'Bond Pricing'!$C$6/'Bond Pricing'!$C$7+'Bond Pricing'!$C$5,'Bond Pricing'!$C$5*'Bond Pricing'!$C$6/'Bond Pricing'!$C$7))</f>
        <v>0</v>
      </c>
      <c r="D115" s="19" t="n">
        <f aca="false">1/(1+'Bond Pricing'!$C$9/'Bond Pricing'!$C$7)^100</f>
        <v>0.0663463362129327</v>
      </c>
      <c r="E115" s="18" t="n">
        <f aca="false">C115*D115</f>
        <v>0</v>
      </c>
      <c r="F115" s="18" t="n">
        <f aca="false">100*E115</f>
        <v>0</v>
      </c>
      <c r="G115" s="18" t="n">
        <f aca="false">100*(100+1)*E115</f>
        <v>0</v>
      </c>
    </row>
    <row r="116" customFormat="false" ht="15" hidden="false" customHeight="true" outlineLevel="0" collapsed="false">
      <c r="B116" s="5" t="n">
        <v>101</v>
      </c>
      <c r="C116" s="18" t="n">
        <f aca="false">IF(101&gt;'Bond Pricing'!$C$7*'Bond Pricing'!$C$8,0,IF(101='Bond Pricing'!$C$7*'Bond Pricing'!$C$8,'Bond Pricing'!$C$5*'Bond Pricing'!$C$6/'Bond Pricing'!$C$7+'Bond Pricing'!$C$5,'Bond Pricing'!$C$5*'Bond Pricing'!$C$6/'Bond Pricing'!$C$7))</f>
        <v>0</v>
      </c>
      <c r="D116" s="19" t="n">
        <f aca="false">1/(1+'Bond Pricing'!$C$9/'Bond Pricing'!$C$7)^101</f>
        <v>0.0645706435162362</v>
      </c>
      <c r="E116" s="18" t="n">
        <f aca="false">C116*D116</f>
        <v>0</v>
      </c>
      <c r="F116" s="18" t="n">
        <f aca="false">101*E116</f>
        <v>0</v>
      </c>
      <c r="G116" s="18" t="n">
        <f aca="false">101*(101+1)*E116</f>
        <v>0</v>
      </c>
    </row>
    <row r="117" customFormat="false" ht="15" hidden="false" customHeight="true" outlineLevel="0" collapsed="false">
      <c r="B117" s="5" t="n">
        <v>102</v>
      </c>
      <c r="C117" s="18" t="n">
        <f aca="false">IF(102&gt;'Bond Pricing'!$C$7*'Bond Pricing'!$C$8,0,IF(102='Bond Pricing'!$C$7*'Bond Pricing'!$C$8,'Bond Pricing'!$C$5*'Bond Pricing'!$C$6/'Bond Pricing'!$C$7+'Bond Pricing'!$C$5,'Bond Pricing'!$C$5*'Bond Pricing'!$C$6/'Bond Pricing'!$C$7))</f>
        <v>0</v>
      </c>
      <c r="D117" s="19" t="n">
        <f aca="false">1/(1+'Bond Pricing'!$C$9/'Bond Pricing'!$C$7)^102</f>
        <v>0.0628424754415924</v>
      </c>
      <c r="E117" s="18" t="n">
        <f aca="false">C117*D117</f>
        <v>0</v>
      </c>
      <c r="F117" s="18" t="n">
        <f aca="false">102*E117</f>
        <v>0</v>
      </c>
      <c r="G117" s="18" t="n">
        <f aca="false">102*(102+1)*E117</f>
        <v>0</v>
      </c>
    </row>
    <row r="118" customFormat="false" ht="15" hidden="false" customHeight="true" outlineLevel="0" collapsed="false">
      <c r="B118" s="5" t="n">
        <v>103</v>
      </c>
      <c r="C118" s="18" t="n">
        <f aca="false">IF(103&gt;'Bond Pricing'!$C$7*'Bond Pricing'!$C$8,0,IF(103='Bond Pricing'!$C$7*'Bond Pricing'!$C$8,'Bond Pricing'!$C$5*'Bond Pricing'!$C$6/'Bond Pricing'!$C$7+'Bond Pricing'!$C$5,'Bond Pricing'!$C$5*'Bond Pricing'!$C$6/'Bond Pricing'!$C$7))</f>
        <v>0</v>
      </c>
      <c r="D118" s="19" t="n">
        <f aca="false">1/(1+'Bond Pricing'!$C$9/'Bond Pricing'!$C$7)^103</f>
        <v>0.0611605600404792</v>
      </c>
      <c r="E118" s="18" t="n">
        <f aca="false">C118*D118</f>
        <v>0</v>
      </c>
      <c r="F118" s="18" t="n">
        <f aca="false">103*E118</f>
        <v>0</v>
      </c>
      <c r="G118" s="18" t="n">
        <f aca="false">103*(103+1)*E118</f>
        <v>0</v>
      </c>
    </row>
    <row r="119" customFormat="false" ht="15" hidden="false" customHeight="true" outlineLevel="0" collapsed="false">
      <c r="B119" s="5" t="n">
        <v>104</v>
      </c>
      <c r="C119" s="18" t="n">
        <f aca="false">IF(104&gt;'Bond Pricing'!$C$7*'Bond Pricing'!$C$8,0,IF(104='Bond Pricing'!$C$7*'Bond Pricing'!$C$8,'Bond Pricing'!$C$5*'Bond Pricing'!$C$6/'Bond Pricing'!$C$7+'Bond Pricing'!$C$5,'Bond Pricing'!$C$5*'Bond Pricing'!$C$6/'Bond Pricing'!$C$7))</f>
        <v>0</v>
      </c>
      <c r="D119" s="19" t="n">
        <f aca="false">1/(1+'Bond Pricing'!$C$9/'Bond Pricing'!$C$7)^104</f>
        <v>0.0595236594067924</v>
      </c>
      <c r="E119" s="18" t="n">
        <f aca="false">C119*D119</f>
        <v>0</v>
      </c>
      <c r="F119" s="18" t="n">
        <f aca="false">104*E119</f>
        <v>0</v>
      </c>
      <c r="G119" s="18" t="n">
        <f aca="false">104*(104+1)*E119</f>
        <v>0</v>
      </c>
    </row>
    <row r="120" customFormat="false" ht="15" hidden="false" customHeight="true" outlineLevel="0" collapsed="false">
      <c r="B120" s="5" t="n">
        <v>105</v>
      </c>
      <c r="C120" s="18" t="n">
        <f aca="false">IF(105&gt;'Bond Pricing'!$C$7*'Bond Pricing'!$C$8,0,IF(105='Bond Pricing'!$C$7*'Bond Pricing'!$C$8,'Bond Pricing'!$C$5*'Bond Pricing'!$C$6/'Bond Pricing'!$C$7+'Bond Pricing'!$C$5,'Bond Pricing'!$C$5*'Bond Pricing'!$C$6/'Bond Pricing'!$C$7))</f>
        <v>0</v>
      </c>
      <c r="D120" s="19" t="n">
        <f aca="false">1/(1+'Bond Pricing'!$C$9/'Bond Pricing'!$C$7)^105</f>
        <v>0.0579305687657347</v>
      </c>
      <c r="E120" s="18" t="n">
        <f aca="false">C120*D120</f>
        <v>0</v>
      </c>
      <c r="F120" s="18" t="n">
        <f aca="false">105*E120</f>
        <v>0</v>
      </c>
      <c r="G120" s="18" t="n">
        <f aca="false">105*(105+1)*E120</f>
        <v>0</v>
      </c>
    </row>
    <row r="121" customFormat="false" ht="15" hidden="false" customHeight="true" outlineLevel="0" collapsed="false">
      <c r="B121" s="5" t="n">
        <v>106</v>
      </c>
      <c r="C121" s="18" t="n">
        <f aca="false">IF(106&gt;'Bond Pricing'!$C$7*'Bond Pricing'!$C$8,0,IF(106='Bond Pricing'!$C$7*'Bond Pricing'!$C$8,'Bond Pricing'!$C$5*'Bond Pricing'!$C$6/'Bond Pricing'!$C$7+'Bond Pricing'!$C$5,'Bond Pricing'!$C$5*'Bond Pricing'!$C$6/'Bond Pricing'!$C$7))</f>
        <v>0</v>
      </c>
      <c r="D121" s="19" t="n">
        <f aca="false">1/(1+'Bond Pricing'!$C$9/'Bond Pricing'!$C$7)^106</f>
        <v>0.0563801155870897</v>
      </c>
      <c r="E121" s="18" t="n">
        <f aca="false">C121*D121</f>
        <v>0</v>
      </c>
      <c r="F121" s="18" t="n">
        <f aca="false">106*E121</f>
        <v>0</v>
      </c>
      <c r="G121" s="18" t="n">
        <f aca="false">106*(106+1)*E121</f>
        <v>0</v>
      </c>
    </row>
    <row r="122" customFormat="false" ht="15" hidden="false" customHeight="true" outlineLevel="0" collapsed="false">
      <c r="B122" s="5" t="n">
        <v>107</v>
      </c>
      <c r="C122" s="18" t="n">
        <f aca="false">IF(107&gt;'Bond Pricing'!$C$7*'Bond Pricing'!$C$8,0,IF(107='Bond Pricing'!$C$7*'Bond Pricing'!$C$8,'Bond Pricing'!$C$5*'Bond Pricing'!$C$6/'Bond Pricing'!$C$7+'Bond Pricing'!$C$5,'Bond Pricing'!$C$5*'Bond Pricing'!$C$6/'Bond Pricing'!$C$7))</f>
        <v>0</v>
      </c>
      <c r="D122" s="19" t="n">
        <f aca="false">1/(1+'Bond Pricing'!$C$9/'Bond Pricing'!$C$7)^107</f>
        <v>0.0548711587222285</v>
      </c>
      <c r="E122" s="18" t="n">
        <f aca="false">C122*D122</f>
        <v>0</v>
      </c>
      <c r="F122" s="18" t="n">
        <f aca="false">107*E122</f>
        <v>0</v>
      </c>
      <c r="G122" s="18" t="n">
        <f aca="false">107*(107+1)*E122</f>
        <v>0</v>
      </c>
    </row>
    <row r="123" customFormat="false" ht="15" hidden="false" customHeight="true" outlineLevel="0" collapsed="false">
      <c r="B123" s="5" t="n">
        <v>108</v>
      </c>
      <c r="C123" s="18" t="n">
        <f aca="false">IF(108&gt;'Bond Pricing'!$C$7*'Bond Pricing'!$C$8,0,IF(108='Bond Pricing'!$C$7*'Bond Pricing'!$C$8,'Bond Pricing'!$C$5*'Bond Pricing'!$C$6/'Bond Pricing'!$C$7+'Bond Pricing'!$C$5,'Bond Pricing'!$C$5*'Bond Pricing'!$C$6/'Bond Pricing'!$C$7))</f>
        <v>0</v>
      </c>
      <c r="D123" s="19" t="n">
        <f aca="false">1/(1+'Bond Pricing'!$C$9/'Bond Pricing'!$C$7)^108</f>
        <v>0.0534025875642126</v>
      </c>
      <c r="E123" s="18" t="n">
        <f aca="false">C123*D123</f>
        <v>0</v>
      </c>
      <c r="F123" s="18" t="n">
        <f aca="false">108*E123</f>
        <v>0</v>
      </c>
      <c r="G123" s="18" t="n">
        <f aca="false">108*(108+1)*E123</f>
        <v>0</v>
      </c>
    </row>
    <row r="124" customFormat="false" ht="15" hidden="false" customHeight="true" outlineLevel="0" collapsed="false">
      <c r="B124" s="5" t="n">
        <v>109</v>
      </c>
      <c r="C124" s="18" t="n">
        <f aca="false">IF(109&gt;'Bond Pricing'!$C$7*'Bond Pricing'!$C$8,0,IF(109='Bond Pricing'!$C$7*'Bond Pricing'!$C$8,'Bond Pricing'!$C$5*'Bond Pricing'!$C$6/'Bond Pricing'!$C$7+'Bond Pricing'!$C$5,'Bond Pricing'!$C$5*'Bond Pricing'!$C$6/'Bond Pricing'!$C$7))</f>
        <v>0</v>
      </c>
      <c r="D124" s="19" t="n">
        <f aca="false">1/(1+'Bond Pricing'!$C$9/'Bond Pricing'!$C$7)^109</f>
        <v>0.0519733212303772</v>
      </c>
      <c r="E124" s="18" t="n">
        <f aca="false">C124*D124</f>
        <v>0</v>
      </c>
      <c r="F124" s="18" t="n">
        <f aca="false">109*E124</f>
        <v>0</v>
      </c>
      <c r="G124" s="18" t="n">
        <f aca="false">109*(109+1)*E124</f>
        <v>0</v>
      </c>
    </row>
    <row r="125" customFormat="false" ht="15" hidden="false" customHeight="true" outlineLevel="0" collapsed="false">
      <c r="B125" s="5" t="n">
        <v>110</v>
      </c>
      <c r="C125" s="18" t="n">
        <f aca="false">IF(110&gt;'Bond Pricing'!$C$7*'Bond Pricing'!$C$8,0,IF(110='Bond Pricing'!$C$7*'Bond Pricing'!$C$8,'Bond Pricing'!$C$5*'Bond Pricing'!$C$6/'Bond Pricing'!$C$7+'Bond Pricing'!$C$5,'Bond Pricing'!$C$5*'Bond Pricing'!$C$6/'Bond Pricing'!$C$7))</f>
        <v>0</v>
      </c>
      <c r="D125" s="19" t="n">
        <f aca="false">1/(1+'Bond Pricing'!$C$9/'Bond Pricing'!$C$7)^110</f>
        <v>0.0505823077667905</v>
      </c>
      <c r="E125" s="18" t="n">
        <f aca="false">C125*D125</f>
        <v>0</v>
      </c>
      <c r="F125" s="18" t="n">
        <f aca="false">110*E125</f>
        <v>0</v>
      </c>
      <c r="G125" s="18" t="n">
        <f aca="false">110*(110+1)*E125</f>
        <v>0</v>
      </c>
    </row>
    <row r="126" customFormat="false" ht="15" hidden="false" customHeight="true" outlineLevel="0" collapsed="false">
      <c r="B126" s="5" t="n">
        <v>111</v>
      </c>
      <c r="C126" s="18" t="n">
        <f aca="false">IF(111&gt;'Bond Pricing'!$C$7*'Bond Pricing'!$C$8,0,IF(111='Bond Pricing'!$C$7*'Bond Pricing'!$C$8,'Bond Pricing'!$C$5*'Bond Pricing'!$C$6/'Bond Pricing'!$C$7+'Bond Pricing'!$C$5,'Bond Pricing'!$C$5*'Bond Pricing'!$C$6/'Bond Pricing'!$C$7))</f>
        <v>0</v>
      </c>
      <c r="D126" s="19" t="n">
        <f aca="false">1/(1+'Bond Pricing'!$C$9/'Bond Pricing'!$C$7)^111</f>
        <v>0.0492285233740053</v>
      </c>
      <c r="E126" s="18" t="n">
        <f aca="false">C126*D126</f>
        <v>0</v>
      </c>
      <c r="F126" s="18" t="n">
        <f aca="false">111*E126</f>
        <v>0</v>
      </c>
      <c r="G126" s="18" t="n">
        <f aca="false">111*(111+1)*E126</f>
        <v>0</v>
      </c>
    </row>
    <row r="127" customFormat="false" ht="15" hidden="false" customHeight="true" outlineLevel="0" collapsed="false">
      <c r="B127" s="5" t="n">
        <v>112</v>
      </c>
      <c r="C127" s="18" t="n">
        <f aca="false">IF(112&gt;'Bond Pricing'!$C$7*'Bond Pricing'!$C$8,0,IF(112='Bond Pricing'!$C$7*'Bond Pricing'!$C$8,'Bond Pricing'!$C$5*'Bond Pricing'!$C$6/'Bond Pricing'!$C$7+'Bond Pricing'!$C$5,'Bond Pricing'!$C$5*'Bond Pricing'!$C$6/'Bond Pricing'!$C$7))</f>
        <v>0</v>
      </c>
      <c r="D127" s="19" t="n">
        <f aca="false">1/(1+'Bond Pricing'!$C$9/'Bond Pricing'!$C$7)^112</f>
        <v>0.0479109716535332</v>
      </c>
      <c r="E127" s="18" t="n">
        <f aca="false">C127*D127</f>
        <v>0</v>
      </c>
      <c r="F127" s="18" t="n">
        <f aca="false">112*E127</f>
        <v>0</v>
      </c>
      <c r="G127" s="18" t="n">
        <f aca="false">112*(112+1)*E127</f>
        <v>0</v>
      </c>
    </row>
    <row r="128" customFormat="false" ht="15" hidden="false" customHeight="true" outlineLevel="0" collapsed="false">
      <c r="B128" s="5" t="n">
        <v>113</v>
      </c>
      <c r="C128" s="18" t="n">
        <f aca="false">IF(113&gt;'Bond Pricing'!$C$7*'Bond Pricing'!$C$8,0,IF(113='Bond Pricing'!$C$7*'Bond Pricing'!$C$8,'Bond Pricing'!$C$5*'Bond Pricing'!$C$6/'Bond Pricing'!$C$7+'Bond Pricing'!$C$5,'Bond Pricing'!$C$5*'Bond Pricing'!$C$6/'Bond Pricing'!$C$7))</f>
        <v>0</v>
      </c>
      <c r="D128" s="19" t="n">
        <f aca="false">1/(1+'Bond Pricing'!$C$9/'Bond Pricing'!$C$7)^113</f>
        <v>0.0466286828744848</v>
      </c>
      <c r="E128" s="18" t="n">
        <f aca="false">C128*D128</f>
        <v>0</v>
      </c>
      <c r="F128" s="18" t="n">
        <f aca="false">113*E128</f>
        <v>0</v>
      </c>
      <c r="G128" s="18" t="n">
        <f aca="false">113*(113+1)*E128</f>
        <v>0</v>
      </c>
    </row>
    <row r="129" customFormat="false" ht="15" hidden="false" customHeight="true" outlineLevel="0" collapsed="false">
      <c r="B129" s="5" t="n">
        <v>114</v>
      </c>
      <c r="C129" s="18" t="n">
        <f aca="false">IF(114&gt;'Bond Pricing'!$C$7*'Bond Pricing'!$C$8,0,IF(114='Bond Pricing'!$C$7*'Bond Pricing'!$C$8,'Bond Pricing'!$C$5*'Bond Pricing'!$C$6/'Bond Pricing'!$C$7+'Bond Pricing'!$C$5,'Bond Pricing'!$C$5*'Bond Pricing'!$C$6/'Bond Pricing'!$C$7))</f>
        <v>0</v>
      </c>
      <c r="D129" s="19" t="n">
        <f aca="false">1/(1+'Bond Pricing'!$C$9/'Bond Pricing'!$C$7)^114</f>
        <v>0.0453807132598393</v>
      </c>
      <c r="E129" s="18" t="n">
        <f aca="false">C129*D129</f>
        <v>0</v>
      </c>
      <c r="F129" s="18" t="n">
        <f aca="false">114*E129</f>
        <v>0</v>
      </c>
      <c r="G129" s="18" t="n">
        <f aca="false">114*(114+1)*E129</f>
        <v>0</v>
      </c>
    </row>
    <row r="130" customFormat="false" ht="15" hidden="false" customHeight="true" outlineLevel="0" collapsed="false">
      <c r="B130" s="5" t="n">
        <v>115</v>
      </c>
      <c r="C130" s="18" t="n">
        <f aca="false">IF(115&gt;'Bond Pricing'!$C$7*'Bond Pricing'!$C$8,0,IF(115='Bond Pricing'!$C$7*'Bond Pricing'!$C$8,'Bond Pricing'!$C$5*'Bond Pricing'!$C$6/'Bond Pricing'!$C$7+'Bond Pricing'!$C$5,'Bond Pricing'!$C$5*'Bond Pricing'!$C$6/'Bond Pricing'!$C$7))</f>
        <v>0</v>
      </c>
      <c r="D130" s="19" t="n">
        <f aca="false">1/(1+'Bond Pricing'!$C$9/'Bond Pricing'!$C$7)^115</f>
        <v>0.0441661442918144</v>
      </c>
      <c r="E130" s="18" t="n">
        <f aca="false">C130*D130</f>
        <v>0</v>
      </c>
      <c r="F130" s="18" t="n">
        <f aca="false">115*E130</f>
        <v>0</v>
      </c>
      <c r="G130" s="18" t="n">
        <f aca="false">115*(115+1)*E130</f>
        <v>0</v>
      </c>
    </row>
    <row r="131" customFormat="false" ht="15" hidden="false" customHeight="true" outlineLevel="0" collapsed="false">
      <c r="B131" s="5" t="n">
        <v>116</v>
      </c>
      <c r="C131" s="18" t="n">
        <f aca="false">IF(116&gt;'Bond Pricing'!$C$7*'Bond Pricing'!$C$8,0,IF(116='Bond Pricing'!$C$7*'Bond Pricing'!$C$8,'Bond Pricing'!$C$5*'Bond Pricing'!$C$6/'Bond Pricing'!$C$7+'Bond Pricing'!$C$5,'Bond Pricing'!$C$5*'Bond Pricing'!$C$6/'Bond Pricing'!$C$7))</f>
        <v>0</v>
      </c>
      <c r="D131" s="19" t="n">
        <f aca="false">1/(1+'Bond Pricing'!$C$9/'Bond Pricing'!$C$7)^116</f>
        <v>0.0429840820358291</v>
      </c>
      <c r="E131" s="18" t="n">
        <f aca="false">C131*D131</f>
        <v>0</v>
      </c>
      <c r="F131" s="18" t="n">
        <f aca="false">116*E131</f>
        <v>0</v>
      </c>
      <c r="G131" s="18" t="n">
        <f aca="false">116*(116+1)*E131</f>
        <v>0</v>
      </c>
    </row>
    <row r="132" customFormat="false" ht="15" hidden="false" customHeight="true" outlineLevel="0" collapsed="false">
      <c r="B132" s="5" t="n">
        <v>117</v>
      </c>
      <c r="C132" s="18" t="n">
        <f aca="false">IF(117&gt;'Bond Pricing'!$C$7*'Bond Pricing'!$C$8,0,IF(117='Bond Pricing'!$C$7*'Bond Pricing'!$C$8,'Bond Pricing'!$C$5*'Bond Pricing'!$C$6/'Bond Pricing'!$C$7+'Bond Pricing'!$C$5,'Bond Pricing'!$C$5*'Bond Pricing'!$C$6/'Bond Pricing'!$C$7))</f>
        <v>0</v>
      </c>
      <c r="D132" s="19" t="n">
        <f aca="false">1/(1+'Bond Pricing'!$C$9/'Bond Pricing'!$C$7)^117</f>
        <v>0.0418336564825587</v>
      </c>
      <c r="E132" s="18" t="n">
        <f aca="false">C132*D132</f>
        <v>0</v>
      </c>
      <c r="F132" s="18" t="n">
        <f aca="false">117*E132</f>
        <v>0</v>
      </c>
      <c r="G132" s="18" t="n">
        <f aca="false">117*(117+1)*E132</f>
        <v>0</v>
      </c>
    </row>
    <row r="133" customFormat="false" ht="15" hidden="false" customHeight="true" outlineLevel="0" collapsed="false">
      <c r="B133" s="5" t="n">
        <v>118</v>
      </c>
      <c r="C133" s="18" t="n">
        <f aca="false">IF(118&gt;'Bond Pricing'!$C$7*'Bond Pricing'!$C$8,0,IF(118='Bond Pricing'!$C$7*'Bond Pricing'!$C$8,'Bond Pricing'!$C$5*'Bond Pricing'!$C$6/'Bond Pricing'!$C$7+'Bond Pricing'!$C$5,'Bond Pricing'!$C$5*'Bond Pricing'!$C$6/'Bond Pricing'!$C$7))</f>
        <v>0</v>
      </c>
      <c r="D133" s="19" t="n">
        <f aca="false">1/(1+'Bond Pricing'!$C$9/'Bond Pricing'!$C$7)^118</f>
        <v>0.0407140209075997</v>
      </c>
      <c r="E133" s="18" t="n">
        <f aca="false">C133*D133</f>
        <v>0</v>
      </c>
      <c r="F133" s="18" t="n">
        <f aca="false">118*E133</f>
        <v>0</v>
      </c>
      <c r="G133" s="18" t="n">
        <f aca="false">118*(118+1)*E133</f>
        <v>0</v>
      </c>
    </row>
    <row r="134" customFormat="false" ht="15" hidden="false" customHeight="true" outlineLevel="0" collapsed="false">
      <c r="B134" s="5" t="n">
        <v>119</v>
      </c>
      <c r="C134" s="18" t="n">
        <f aca="false">IF(119&gt;'Bond Pricing'!$C$7*'Bond Pricing'!$C$8,0,IF(119='Bond Pricing'!$C$7*'Bond Pricing'!$C$8,'Bond Pricing'!$C$5*'Bond Pricing'!$C$6/'Bond Pricing'!$C$7+'Bond Pricing'!$C$5,'Bond Pricing'!$C$5*'Bond Pricing'!$C$6/'Bond Pricing'!$C$7))</f>
        <v>0</v>
      </c>
      <c r="D134" s="19" t="n">
        <f aca="false">1/(1+'Bond Pricing'!$C$9/'Bond Pricing'!$C$7)^119</f>
        <v>0.0396243512482722</v>
      </c>
      <c r="E134" s="18" t="n">
        <f aca="false">C134*D134</f>
        <v>0</v>
      </c>
      <c r="F134" s="18" t="n">
        <f aca="false">119*E134</f>
        <v>0</v>
      </c>
      <c r="G134" s="18" t="n">
        <f aca="false">119*(119+1)*E134</f>
        <v>0</v>
      </c>
    </row>
    <row r="135" customFormat="false" ht="15" hidden="false" customHeight="true" outlineLevel="0" collapsed="false">
      <c r="B135" s="5" t="n">
        <v>120</v>
      </c>
      <c r="C135" s="18" t="n">
        <f aca="false">IF(120&gt;'Bond Pricing'!$C$7*'Bond Pricing'!$C$8,0,IF(120='Bond Pricing'!$C$7*'Bond Pricing'!$C$8,'Bond Pricing'!$C$5*'Bond Pricing'!$C$6/'Bond Pricing'!$C$7+'Bond Pricing'!$C$5,'Bond Pricing'!$C$5*'Bond Pricing'!$C$6/'Bond Pricing'!$C$7))</f>
        <v>0</v>
      </c>
      <c r="D135" s="19" t="n">
        <f aca="false">1/(1+'Bond Pricing'!$C$9/'Bond Pricing'!$C$7)^120</f>
        <v>0.0385638454971019</v>
      </c>
      <c r="E135" s="18" t="n">
        <f aca="false">C135*D135</f>
        <v>0</v>
      </c>
      <c r="F135" s="18" t="n">
        <f aca="false">120*E135</f>
        <v>0</v>
      </c>
      <c r="G135" s="18" t="n">
        <f aca="false">120*(120+1)*E135</f>
        <v>0</v>
      </c>
    </row>
    <row r="136" customFormat="false" ht="15" hidden="false" customHeight="true" outlineLevel="0" collapsed="false">
      <c r="B136" s="3" t="s">
        <v>34</v>
      </c>
      <c r="E136" s="20" t="n">
        <f aca="false">SUM(E16:E135)</f>
        <v>961.93186966556</v>
      </c>
      <c r="F136" s="20" t="n">
        <f aca="false">SUM(F16:F135)</f>
        <v>15280.4570000879</v>
      </c>
      <c r="G136" s="20" t="n">
        <f aca="false">SUM(G16:G135)</f>
        <v>295354.689237013</v>
      </c>
    </row>
    <row r="138" customFormat="false" ht="15" hidden="false" customHeight="true" outlineLevel="0" collapsed="false">
      <c r="B138" s="1" t="s">
        <v>35</v>
      </c>
      <c r="C138" s="14" t="n">
        <f aca="false">E136</f>
        <v>961.93186966556</v>
      </c>
    </row>
    <row r="139" customFormat="false" ht="15" hidden="false" customHeight="true" outlineLevel="0" collapsed="false">
      <c r="B139" s="1" t="s">
        <v>36</v>
      </c>
      <c r="C139" s="21" t="n">
        <f aca="false">IFERROR((F136/E136)/'Bond Pricing'!$C$7,"-")</f>
        <v>7.9425879742401</v>
      </c>
    </row>
    <row r="140" customFormat="false" ht="15" hidden="false" customHeight="true" outlineLevel="0" collapsed="false">
      <c r="B140" s="1" t="s">
        <v>37</v>
      </c>
      <c r="C140" s="15" t="n">
        <f aca="false">IFERROR(C139/(1+'Bond Pricing'!$C$9/'Bond Pricing'!$C$7),"-")</f>
        <v>7.73001262699767</v>
      </c>
    </row>
    <row r="141" customFormat="false" ht="15" hidden="false" customHeight="true" outlineLevel="0" collapsed="false">
      <c r="B141" s="1" t="s">
        <v>38</v>
      </c>
      <c r="C141" s="15" t="n">
        <f aca="false">IFERROR((G136/E136)/(1+'Bond Pricing'!$C$9/'Bond Pricing'!$C$7)^2/'Bond Pricing'!$C$7^2,"-")</f>
        <v>72.7069462680081</v>
      </c>
    </row>
    <row r="142" customFormat="false" ht="15" hidden="false" customHeight="true" outlineLevel="0" collapsed="false">
      <c r="B142" s="1" t="s">
        <v>39</v>
      </c>
      <c r="C142" s="21" t="n">
        <f aca="false">IFERROR(C140-C8,"-")</f>
        <v>-0.00311033608080002</v>
      </c>
    </row>
    <row r="143" customFormat="false" ht="15" hidden="false" customHeight="true" outlineLevel="0" collapsed="false">
      <c r="B143" s="1" t="s">
        <v>40</v>
      </c>
      <c r="C143" s="21" t="n">
        <f aca="false">IFERROR(C141-C9,"-")</f>
        <v>-0.0169719948774372</v>
      </c>
    </row>
    <row r="144" customFormat="false" ht="15" hidden="false" customHeight="true" outlineLevel="0" collapsed="false">
      <c r="B144" s="10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42</v>
      </c>
    </row>
    <row r="3" customFormat="false" ht="15" hidden="false" customHeight="true" outlineLevel="0" collapsed="false">
      <c r="B3" s="10" t="s">
        <v>43</v>
      </c>
    </row>
    <row r="5" customFormat="false" ht="15" hidden="false" customHeight="true" outlineLevel="0" collapsed="false">
      <c r="B5" s="17" t="s">
        <v>44</v>
      </c>
      <c r="C5" s="17" t="s">
        <v>45</v>
      </c>
      <c r="D5" s="17" t="s">
        <v>46</v>
      </c>
      <c r="E5" s="17" t="s">
        <v>47</v>
      </c>
    </row>
    <row r="6" customFormat="false" ht="15" hidden="false" customHeight="true" outlineLevel="0" collapsed="false">
      <c r="B6" s="22" t="s">
        <v>48</v>
      </c>
      <c r="C6" s="22" t="s">
        <v>49</v>
      </c>
      <c r="D6" s="22" t="s">
        <v>50</v>
      </c>
      <c r="E6" s="23" t="s">
        <v>51</v>
      </c>
    </row>
    <row r="7" customFormat="false" ht="15" hidden="false" customHeight="true" outlineLevel="0" collapsed="false">
      <c r="B7" s="22" t="s">
        <v>52</v>
      </c>
      <c r="C7" s="22" t="s">
        <v>53</v>
      </c>
      <c r="D7" s="22" t="s">
        <v>54</v>
      </c>
      <c r="E7" s="23" t="s">
        <v>55</v>
      </c>
    </row>
    <row r="8" customFormat="false" ht="15" hidden="false" customHeight="true" outlineLevel="0" collapsed="false">
      <c r="B8" s="22" t="s">
        <v>56</v>
      </c>
      <c r="C8" s="22" t="s">
        <v>57</v>
      </c>
      <c r="D8" s="22" t="s">
        <v>50</v>
      </c>
      <c r="E8" s="23" t="s">
        <v>58</v>
      </c>
    </row>
    <row r="9" customFormat="false" ht="15" hidden="false" customHeight="true" outlineLevel="0" collapsed="false">
      <c r="B9" s="22" t="s">
        <v>59</v>
      </c>
      <c r="C9" s="22" t="s">
        <v>60</v>
      </c>
      <c r="D9" s="22" t="s">
        <v>50</v>
      </c>
      <c r="E9" s="23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5" hidden="false" customHeight="true" outlineLevel="0" collapsed="false">
      <c r="B2" s="2" t="s">
        <v>62</v>
      </c>
    </row>
    <row r="3" customFormat="false" ht="15" hidden="false" customHeight="true" outlineLevel="0" collapsed="false">
      <c r="B3" s="10" t="s">
        <v>63</v>
      </c>
    </row>
    <row r="5" customFormat="false" ht="15" hidden="false" customHeight="true" outlineLevel="0" collapsed="false">
      <c r="B5" s="17" t="s">
        <v>64</v>
      </c>
      <c r="C5" s="17" t="s">
        <v>65</v>
      </c>
      <c r="D5" s="17" t="s">
        <v>66</v>
      </c>
    </row>
    <row r="6" customFormat="false" ht="15" hidden="false" customHeight="true" outlineLevel="0" collapsed="false">
      <c r="B6" s="22" t="s">
        <v>67</v>
      </c>
      <c r="C6" s="24" t="n">
        <f aca="false">'Duration &amp; Convexity'!C138-'Bond Pricing'!C11</f>
        <v>0</v>
      </c>
      <c r="D6" s="23" t="s">
        <v>68</v>
      </c>
    </row>
    <row r="7" customFormat="false" ht="15" hidden="false" customHeight="true" outlineLevel="0" collapsed="false">
      <c r="B7" s="22" t="s">
        <v>69</v>
      </c>
      <c r="C7" s="24" t="n">
        <f aca="false">'Duration &amp; Convexity'!C140-'Duration &amp; Convexity'!C8</f>
        <v>-0.00311033608080002</v>
      </c>
      <c r="D7" s="23" t="s">
        <v>70</v>
      </c>
    </row>
    <row r="8" customFormat="false" ht="15" hidden="false" customHeight="true" outlineLevel="0" collapsed="false">
      <c r="B8" s="22" t="s">
        <v>71</v>
      </c>
      <c r="C8" s="24" t="n">
        <f aca="false">'Duration &amp; Convexity'!C141-'Duration &amp; Convexity'!C9</f>
        <v>-0.0169719948774372</v>
      </c>
      <c r="D8" s="23" t="s">
        <v>72</v>
      </c>
    </row>
    <row r="9" customFormat="false" ht="15" hidden="false" customHeight="true" outlineLevel="0" collapsed="false">
      <c r="B9" s="22" t="s">
        <v>73</v>
      </c>
      <c r="C9" s="24" t="b">
        <f aca="false">IF('Duration &amp; Convexity'!C9&gt;=0,TRUE(),FALSE())</f>
        <v>1</v>
      </c>
      <c r="D9" s="23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4" min="2" style="1" width="14"/>
    <col collapsed="false" customWidth="true" hidden="false" outlineLevel="0" max="5" min="5" style="1" width="40"/>
  </cols>
  <sheetData>
    <row r="2" customFormat="false" ht="19.5" hidden="false" customHeight="true" outlineLevel="0" collapsed="false">
      <c r="B2" s="2" t="s">
        <v>75</v>
      </c>
    </row>
    <row r="4" customFormat="false" ht="15" hidden="false" customHeight="true" outlineLevel="0" collapsed="false">
      <c r="A4" s="17"/>
      <c r="B4" s="17" t="s">
        <v>76</v>
      </c>
      <c r="C4" s="17" t="s">
        <v>77</v>
      </c>
      <c r="D4" s="17" t="s">
        <v>78</v>
      </c>
      <c r="E4" s="1" t="s">
        <v>79</v>
      </c>
    </row>
    <row r="5" customFormat="false" ht="15" hidden="false" customHeight="true" outlineLevel="0" collapsed="false">
      <c r="B5" s="5" t="s">
        <v>80</v>
      </c>
      <c r="C5" s="25" t="n">
        <v>0</v>
      </c>
      <c r="D5" s="26" t="n">
        <v>0</v>
      </c>
      <c r="E5" s="11" t="n">
        <f aca="false">C5+D5/10000</f>
        <v>0</v>
      </c>
    </row>
    <row r="6" customFormat="false" ht="15" hidden="false" customHeight="true" outlineLevel="0" collapsed="false">
      <c r="B6" s="5" t="s">
        <v>81</v>
      </c>
      <c r="C6" s="25" t="n">
        <v>0</v>
      </c>
      <c r="D6" s="26" t="n">
        <v>0</v>
      </c>
      <c r="E6" s="11" t="n">
        <f aca="false">C6+D6/10000</f>
        <v>0</v>
      </c>
    </row>
    <row r="7" customFormat="false" ht="15" hidden="false" customHeight="true" outlineLevel="0" collapsed="false">
      <c r="B7" s="5" t="s">
        <v>82</v>
      </c>
      <c r="C7" s="25" t="n">
        <v>0</v>
      </c>
      <c r="D7" s="26" t="n">
        <v>0</v>
      </c>
      <c r="E7" s="11" t="n">
        <f aca="false">C7+D7/10000</f>
        <v>0</v>
      </c>
    </row>
    <row r="8" customFormat="false" ht="15" hidden="false" customHeight="true" outlineLevel="0" collapsed="false">
      <c r="B8" s="5" t="s">
        <v>83</v>
      </c>
      <c r="C8" s="25" t="n">
        <v>0</v>
      </c>
      <c r="D8" s="26" t="n">
        <v>0</v>
      </c>
      <c r="E8" s="11" t="n">
        <f aca="false">C8+D8/10000</f>
        <v>0</v>
      </c>
    </row>
    <row r="9" customFormat="false" ht="15" hidden="false" customHeight="true" outlineLevel="0" collapsed="false">
      <c r="B9" s="5" t="s">
        <v>84</v>
      </c>
      <c r="C9" s="25" t="n">
        <v>0</v>
      </c>
      <c r="D9" s="26" t="n">
        <v>0</v>
      </c>
      <c r="E9" s="11" t="n">
        <f aca="false">C9+D9/10000</f>
        <v>0</v>
      </c>
    </row>
    <row r="11" customFormat="false" ht="15" hidden="false" customHeight="true" outlineLevel="0" collapsed="false">
      <c r="B11" s="1" t="s">
        <v>85</v>
      </c>
      <c r="C11" s="27" t="n">
        <f aca="false">(C7-C6)*10000</f>
        <v>0</v>
      </c>
      <c r="D11" s="10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2"/>
    <col collapsed="false" customWidth="true" hidden="false" outlineLevel="0" max="10" min="10" style="1" width="40"/>
  </cols>
  <sheetData>
    <row r="2" customFormat="false" ht="19.5" hidden="false" customHeight="true" outlineLevel="0" collapsed="false">
      <c r="B2" s="2" t="s">
        <v>87</v>
      </c>
    </row>
    <row r="4" customFormat="false" ht="15" hidden="false" customHeight="true" outlineLevel="0" collapsed="false">
      <c r="B4" s="10" t="s">
        <v>88</v>
      </c>
    </row>
    <row r="6" customFormat="false" ht="15" hidden="false" customHeight="true" outlineLevel="0" collapsed="false">
      <c r="B6" s="1" t="s">
        <v>89</v>
      </c>
      <c r="C6" s="28" t="n">
        <v>-100</v>
      </c>
      <c r="D6" s="28" t="n">
        <v>-50</v>
      </c>
      <c r="E6" s="28" t="n">
        <v>-25</v>
      </c>
      <c r="F6" s="28" t="n">
        <v>0</v>
      </c>
      <c r="G6" s="28" t="n">
        <v>25</v>
      </c>
      <c r="H6" s="28" t="n">
        <v>50</v>
      </c>
      <c r="I6" s="28" t="n">
        <v>100</v>
      </c>
    </row>
    <row r="7" customFormat="false" ht="15" hidden="false" customHeight="true" outlineLevel="0" collapsed="false">
      <c r="B7" s="1" t="s">
        <v>90</v>
      </c>
      <c r="C7" s="11" t="n">
        <f aca="false">IFERROR(-'Duration &amp; Convexity'!$C$8*(C6/10000)+0.5*'Duration &amp; Convexity'!$C$9*(C6/10000)^2,"-")</f>
        <v>0.0809674255439289</v>
      </c>
      <c r="D7" s="11" t="n">
        <f aca="false">IFERROR(-'Duration &amp; Convexity'!$C$8*(D6/10000)+0.5*'Duration &amp; Convexity'!$C$9*(D6/10000)^2,"-")</f>
        <v>0.0395746637936784</v>
      </c>
      <c r="E7" s="11" t="n">
        <f aca="false">IFERROR(-'Duration &amp; Convexity'!$C$8*(E6/10000)+0.5*'Duration &amp; Convexity'!$C$9*(E6/10000)^2,"-")</f>
        <v>0.0195600696522677</v>
      </c>
      <c r="F7" s="11" t="n">
        <f aca="false">IFERROR(-'Duration &amp; Convexity'!$C$8*(F6/10000)+0.5*'Duration &amp; Convexity'!$C$9*(F6/10000)^2,"-")</f>
        <v>0</v>
      </c>
      <c r="G7" s="11" t="n">
        <f aca="false">IFERROR(-'Duration &amp; Convexity'!$C$8*(G6/10000)+0.5*'Duration &amp; Convexity'!$C$9*(G6/10000)^2,"-")</f>
        <v>-0.0191055451631246</v>
      </c>
      <c r="H7" s="11" t="n">
        <f aca="false">IFERROR(-'Duration &amp; Convexity'!$C$8*(H6/10000)+0.5*'Duration &amp; Convexity'!$C$9*(H6/10000)^2,"-")</f>
        <v>-0.0377565658371063</v>
      </c>
      <c r="I7" s="11" t="n">
        <f aca="false">IFERROR(-'Duration &amp; Convexity'!$C$8*(I6/10000)+0.5*'Duration &amp; Convexity'!$C$9*(I6/10000)^2,"-")</f>
        <v>-0.0736950337176404</v>
      </c>
    </row>
    <row r="8" customFormat="false" ht="15" hidden="false" customHeight="true" outlineLevel="0" collapsed="false">
      <c r="B8" s="1" t="s">
        <v>91</v>
      </c>
      <c r="C8" s="29" t="n">
        <f aca="false">'Bond Pricing'!$C$13</f>
        <v>0.0519787331896839</v>
      </c>
      <c r="D8" s="29" t="n">
        <f aca="false">'Bond Pricing'!$C$13</f>
        <v>0.0519787331896839</v>
      </c>
      <c r="E8" s="29" t="n">
        <f aca="false">'Bond Pricing'!$C$13</f>
        <v>0.0519787331896839</v>
      </c>
      <c r="F8" s="29" t="n">
        <f aca="false">'Bond Pricing'!$C$13</f>
        <v>0.0519787331896839</v>
      </c>
      <c r="G8" s="29" t="n">
        <f aca="false">'Bond Pricing'!$C$13</f>
        <v>0.0519787331896839</v>
      </c>
      <c r="H8" s="29" t="n">
        <f aca="false">'Bond Pricing'!$C$13</f>
        <v>0.0519787331896839</v>
      </c>
      <c r="I8" s="29" t="n">
        <f aca="false">'Bond Pricing'!$C$13</f>
        <v>0.0519787331896839</v>
      </c>
    </row>
    <row r="9" customFormat="false" ht="15" hidden="false" customHeight="true" outlineLevel="0" collapsed="false">
      <c r="B9" s="3" t="s">
        <v>92</v>
      </c>
      <c r="C9" s="30" t="n">
        <f aca="false">C7+C8</f>
        <v>0.132946158733613</v>
      </c>
      <c r="D9" s="30" t="n">
        <f aca="false">D7+D8</f>
        <v>0.0915533969833623</v>
      </c>
      <c r="E9" s="30" t="n">
        <f aca="false">E7+E8</f>
        <v>0.0715388028419516</v>
      </c>
      <c r="F9" s="30" t="n">
        <f aca="false">F7+F8</f>
        <v>0.0519787331896839</v>
      </c>
      <c r="G9" s="30" t="n">
        <f aca="false">G7+G8</f>
        <v>0.0328731880265593</v>
      </c>
      <c r="H9" s="30" t="n">
        <f aca="false">H7+H8</f>
        <v>0.0142221673525777</v>
      </c>
      <c r="I9" s="30" t="n">
        <f aca="false">I7+I8</f>
        <v>-0.0217163005279565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93</v>
      </c>
    </row>
    <row r="4" customFormat="false" ht="15" hidden="false" customHeight="true" outlineLevel="0" collapsed="false">
      <c r="B4" s="12" t="s">
        <v>94</v>
      </c>
    </row>
    <row r="5" customFormat="false" ht="15" hidden="false" customHeight="true" outlineLevel="0" collapsed="false">
      <c r="B5" s="1" t="s">
        <v>95</v>
      </c>
      <c r="C5" s="31" t="s">
        <v>96</v>
      </c>
    </row>
    <row r="6" customFormat="false" ht="15" hidden="false" customHeight="true" outlineLevel="0" collapsed="false">
      <c r="B6" s="1" t="s">
        <v>97</v>
      </c>
      <c r="C6" s="32" t="n">
        <v>46023</v>
      </c>
    </row>
    <row r="7" customFormat="false" ht="15" hidden="false" customHeight="true" outlineLevel="0" collapsed="false">
      <c r="B7" s="1" t="s">
        <v>98</v>
      </c>
      <c r="C7" s="32" t="n">
        <v>46204</v>
      </c>
    </row>
    <row r="8" customFormat="false" ht="15" hidden="false" customHeight="true" outlineLevel="0" collapsed="false">
      <c r="B8" s="1" t="s">
        <v>99</v>
      </c>
      <c r="C8" s="32" t="n">
        <v>46113</v>
      </c>
    </row>
    <row r="10" customFormat="false" ht="15" hidden="false" customHeight="true" outlineLevel="0" collapsed="false">
      <c r="B10" s="12" t="s">
        <v>100</v>
      </c>
    </row>
    <row r="11" customFormat="false" ht="15" hidden="false" customHeight="true" outlineLevel="0" collapsed="false">
      <c r="B11" s="1" t="s">
        <v>101</v>
      </c>
      <c r="C11" s="33" t="n">
        <f aca="false">IF($C$5="30/360",DAYS360(C6,C8),C8-C6)</f>
        <v>90</v>
      </c>
    </row>
    <row r="12" customFormat="false" ht="15" hidden="false" customHeight="true" outlineLevel="0" collapsed="false">
      <c r="B12" s="1" t="s">
        <v>102</v>
      </c>
      <c r="C12" s="33" t="n">
        <f aca="false">IF($C$5="30/360",DAYS360(C6,C7),C7-C6)</f>
        <v>180</v>
      </c>
    </row>
    <row r="13" customFormat="false" ht="15" hidden="false" customHeight="true" outlineLevel="0" collapsed="false">
      <c r="B13" s="1" t="s">
        <v>103</v>
      </c>
      <c r="C13" s="21" t="n">
        <f aca="false">IFERROR(C11/C12,"-")</f>
        <v>0.5</v>
      </c>
    </row>
    <row r="15" customFormat="false" ht="15" hidden="false" customHeight="true" outlineLevel="0" collapsed="false">
      <c r="B15" s="12" t="s">
        <v>104</v>
      </c>
    </row>
    <row r="16" customFormat="false" ht="15" hidden="false" customHeight="true" outlineLevel="0" collapsed="false">
      <c r="B16" s="1" t="s">
        <v>105</v>
      </c>
      <c r="C16" s="34" t="n">
        <f aca="false">'Bond Pricing'!C5*'Bond Pricing'!C6/'Bond Pricing'!C7</f>
        <v>25</v>
      </c>
    </row>
    <row r="17" customFormat="false" ht="15" hidden="false" customHeight="true" outlineLevel="0" collapsed="false">
      <c r="B17" s="1" t="s">
        <v>106</v>
      </c>
      <c r="C17" s="9" t="n">
        <f aca="false">IFERROR(C16*C13,"-")</f>
        <v>12.5</v>
      </c>
    </row>
    <row r="18" customFormat="false" ht="15" hidden="false" customHeight="true" outlineLevel="0" collapsed="false">
      <c r="B18" s="1" t="s">
        <v>107</v>
      </c>
      <c r="C18" s="34" t="n">
        <f aca="false">'Bond Pricing'!C11</f>
        <v>961.931869665561</v>
      </c>
    </row>
    <row r="19" customFormat="false" ht="15" hidden="false" customHeight="true" outlineLevel="0" collapsed="false">
      <c r="B19" s="1" t="s">
        <v>108</v>
      </c>
      <c r="C19" s="35" t="n">
        <f aca="false">IFERROR(C18+C17,"-")</f>
        <v>974.431869665561</v>
      </c>
      <c r="D19" s="10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110</v>
      </c>
    </row>
    <row r="4" customFormat="false" ht="15" hidden="false" customHeight="true" outlineLevel="0" collapsed="false">
      <c r="B4" s="17" t="s">
        <v>111</v>
      </c>
      <c r="C4" s="17" t="s">
        <v>112</v>
      </c>
      <c r="D4" s="17" t="s">
        <v>113</v>
      </c>
      <c r="E4" s="17" t="s">
        <v>114</v>
      </c>
      <c r="F4" s="17" t="s">
        <v>115</v>
      </c>
    </row>
    <row r="5" customFormat="false" ht="15" hidden="false" customHeight="true" outlineLevel="0" collapsed="false">
      <c r="B5" s="36"/>
      <c r="C5" s="36"/>
      <c r="D5" s="36"/>
      <c r="E5" s="36"/>
      <c r="F5" s="36"/>
    </row>
    <row r="6" customFormat="false" ht="15" hidden="false" customHeight="true" outlineLevel="0" collapsed="false">
      <c r="B6" s="36"/>
      <c r="C6" s="36"/>
      <c r="D6" s="36"/>
      <c r="E6" s="36"/>
      <c r="F6" s="36"/>
    </row>
    <row r="7" customFormat="false" ht="15" hidden="false" customHeight="true" outlineLevel="0" collapsed="false">
      <c r="B7" s="36"/>
      <c r="C7" s="36"/>
      <c r="D7" s="36"/>
      <c r="E7" s="36"/>
      <c r="F7" s="36"/>
    </row>
    <row r="8" customFormat="false" ht="15" hidden="false" customHeight="true" outlineLevel="0" collapsed="false">
      <c r="B8" s="36"/>
      <c r="C8" s="36"/>
      <c r="D8" s="36"/>
      <c r="E8" s="36"/>
      <c r="F8" s="36"/>
    </row>
    <row r="9" customFormat="false" ht="15" hidden="false" customHeight="true" outlineLevel="0" collapsed="false">
      <c r="B9" s="36"/>
      <c r="C9" s="36"/>
      <c r="D9" s="36"/>
      <c r="E9" s="36"/>
      <c r="F9" s="36"/>
    </row>
    <row r="10" customFormat="false" ht="15" hidden="false" customHeight="true" outlineLevel="0" collapsed="false">
      <c r="B10" s="36"/>
      <c r="C10" s="36"/>
      <c r="D10" s="36"/>
      <c r="E10" s="36"/>
      <c r="F10" s="36"/>
    </row>
    <row r="11" customFormat="false" ht="15" hidden="false" customHeight="true" outlineLevel="0" collapsed="false">
      <c r="B11" s="36"/>
      <c r="C11" s="36"/>
      <c r="D11" s="36"/>
      <c r="E11" s="36"/>
      <c r="F11" s="36"/>
    </row>
    <row r="12" customFormat="false" ht="15" hidden="false" customHeight="true" outlineLevel="0" collapsed="false">
      <c r="B12" s="36"/>
      <c r="C12" s="36"/>
      <c r="D12" s="36"/>
      <c r="E12" s="36"/>
      <c r="F12" s="36"/>
    </row>
    <row r="13" customFormat="false" ht="15" hidden="false" customHeight="true" outlineLevel="0" collapsed="false">
      <c r="B13" s="36"/>
      <c r="C13" s="36"/>
      <c r="D13" s="36"/>
      <c r="E13" s="36"/>
      <c r="F13" s="36"/>
    </row>
    <row r="14" customFormat="false" ht="15" hidden="false" customHeight="true" outlineLevel="0" collapsed="false">
      <c r="B14" s="36"/>
      <c r="C14" s="36"/>
      <c r="D14" s="36"/>
      <c r="E14" s="36"/>
      <c r="F14" s="3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2026-08-04T17:31:52Z</dcterms:created>
  <dc:creator>openpyxl</dc:creator>
  <dc:description/>
  <dc:language>en-US</dc:language>
  <cp:lastModifiedBy/>
  <dcterms:modified xsi:type="dcterms:W3CDTF">2026-08-04T17:32:01Z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