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Covenants" sheetId="3" state="visible" r:id="rId5"/>
    <sheet name="Debt Schedule" sheetId="4" state="visible" r:id="rId6"/>
    <sheet name="Yield &amp; Spread" sheetId="5" state="visible" r:id="rId7"/>
    <sheet name="Sources" sheetId="6" state="visible" r:id="rId8"/>
    <sheet name="Checks" sheetId="7" state="visible" r:id="rId9"/>
    <sheet name="Refresh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<sst xmlns="http://schemas.openxmlformats.org/spreadsheetml/2006/main" count="115" uniqueCount="107">
  <si>
    <t xml:space="preserve">[BORROWER] — Private Credit / Debt Finance Model</t>
  </si>
  <si>
    <t xml:space="preserve">Borrower / issuer:</t>
  </si>
  <si>
    <t xml:space="preserve">[fill in]</t>
  </si>
  <si>
    <t xml:space="preserve">Facility type:</t>
  </si>
  <si>
    <t xml:space="preserve">[term loan B / unitranche / revolver / notes]</t>
  </si>
  <si>
    <t xml:space="preserve">Last refreshed:</t>
  </si>
  <si>
    <t xml:space="preserve">[date]</t>
  </si>
  <si>
    <t xml:space="preserve">Next covenant test date:</t>
  </si>
  <si>
    <t xml:space="preserve">Refresh cadence:</t>
  </si>
  <si>
    <t xml:space="preserve">Weekly</t>
  </si>
  <si>
    <t xml:space="preserve">Facility Assumptions</t>
  </si>
  <si>
    <t xml:space="preserve">Facility</t>
  </si>
  <si>
    <t xml:space="preserve">Facility size / committed amount ($)</t>
  </si>
  <si>
    <t xml:space="preserve">Amount drawn ($)</t>
  </si>
  <si>
    <t xml:space="preserve">Base rate (e.g. SOFR) %</t>
  </si>
  <si>
    <t xml:space="preserve">Spread (%)</t>
  </si>
  <si>
    <t xml:space="preserve">OID (price at issue, per 100)</t>
  </si>
  <si>
    <t xml:space="preserve">Maturity (yrs)</t>
  </si>
  <si>
    <t xml:space="preserve">Mandatory amortization (% of face / yr)</t>
  </si>
  <si>
    <t xml:space="preserve">Borrower financials</t>
  </si>
  <si>
    <t xml:space="preserve">EBITDA ($)</t>
  </si>
  <si>
    <t xml:space="preserve">Cash flow available for debt service (CFADS, $)</t>
  </si>
  <si>
    <t xml:space="preserve">Derived</t>
  </si>
  <si>
    <t xml:space="preserve">All-in interest rate (base + spread)</t>
  </si>
  <si>
    <t xml:space="preserve">Annual interest expense ($)</t>
  </si>
  <si>
    <t xml:space="preserve">Total debt ($, = drawn amount)</t>
  </si>
  <si>
    <t xml:space="preserve">Excess Cash Flow (ECF) Sweep Step-Down Grid</t>
  </si>
  <si>
    <t xml:space="preserve">Standard leveraged-loan credit-agreement provision: the sweep % of excess cash flow ratchets down as leverage falls, so a borrower keeps more cash once it's delevered.</t>
  </si>
  <si>
    <t xml:space="preserve">Tier</t>
  </si>
  <si>
    <t xml:space="preserve">Leverage &gt;</t>
  </si>
  <si>
    <t xml:space="preserve">Sweep % of ECF</t>
  </si>
  <si>
    <t xml:space="preserve">Tier 1</t>
  </si>
  <si>
    <t xml:space="preserve">Tier 2</t>
  </si>
  <si>
    <t xml:space="preserve">Tier 3</t>
  </si>
  <si>
    <t xml:space="preserve">Below Tier 3 threshold</t>
  </si>
  <si>
    <t xml:space="preserve">Covenant Headroom</t>
  </si>
  <si>
    <t xml:space="preserve">Covenant</t>
  </si>
  <si>
    <t xml:space="preserve">Threshold</t>
  </si>
  <si>
    <t xml:space="preserve">Actual</t>
  </si>
  <si>
    <t xml:space="preserve">Headroom</t>
  </si>
  <si>
    <t xml:space="preserve">Note</t>
  </si>
  <si>
    <t xml:space="preserve">Max leverage (Total Debt / EBITDA)</t>
  </si>
  <si>
    <t xml:space="preserve">Lower actual is better — headroom = covenant minus actual</t>
  </si>
  <si>
    <t xml:space="preserve">Min interest coverage (EBITDA / Interest)</t>
  </si>
  <si>
    <t xml:space="preserve">Higher actual is better — headroom = actual minus covenant</t>
  </si>
  <si>
    <t xml:space="preserve">Min DSCR (CFADS / Debt Service)</t>
  </si>
  <si>
    <t xml:space="preserve">Debt service = mandatory amort + interest</t>
  </si>
  <si>
    <t xml:space="preserve">Status</t>
  </si>
  <si>
    <t xml:space="preserve">Leverage covenant</t>
  </si>
  <si>
    <t xml:space="preserve">Interest coverage covenant</t>
  </si>
  <si>
    <t xml:space="preserve">DSCR covenant</t>
  </si>
  <si>
    <t xml:space="preserve">Debt Schedule</t>
  </si>
  <si>
    <t xml:space="preserve">Interest and the ECF sweep tier both key off the BEGINNING-of-period balance — never the period's own ending balance — so nothing here is circular.</t>
  </si>
  <si>
    <t xml:space="preserve">Yr0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</si>
  <si>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</si>
  <si>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</si>
  <si>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</si>
  <si>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</si>
  <si>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</si>
  <si>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Beginning balance</t>
  </si>
  <si>
    <t xml:space="preserve">Mandatory amortization</t>
  </si>
  <si>
    <t xml:space="preserve">Beginning-of-period leverage (for ECF tier)</t>
  </si>
  <si>
    <t xml:space="preserve">ECF sweep % (step-down grid)</t>
  </si>
  <si>
    <t xml:space="preserve">Interest expense (all-in rate x beginning balance)</t>
  </si>
  <si>
    <t xml:space="preserve">Cash sweep (Excess Cash Flow: CFADS less scheduled debt service, x tier %)</t>
  </si>
  <si>
    <t xml:space="preserve">Ending balance</t>
  </si>
  <si>
    <t xml:space="preserve">Leverage (ending debt / EBITDA)</t>
  </si>
  <si>
    <t xml:space="preserve">Lender Yield (incl. OID)</t>
  </si>
  <si>
    <t xml:space="preserve">Coupon rate (base + spread, %)</t>
  </si>
  <si>
    <t xml:space="preserve">Issue price (per 100)</t>
  </si>
  <si>
    <t xml:space="preserve">Approx. yield-to-maturity</t>
  </si>
  <si>
    <t xml:space="preserve">Standard bond-math approximation: (Coupon$+(100-Price)/n)/((100+Price)/2). At par (Price=100) this collapses to the coupon rate exactly — sanity check.</t>
  </si>
  <si>
    <t xml:space="preserve">Sources</t>
  </si>
  <si>
    <t xml:space="preserve">What each material assumption or convention in this model comes from.</t>
  </si>
  <si>
    <t xml:space="preserve">Assumption / convention</t>
  </si>
  <si>
    <t xml:space="preserve">Source</t>
  </si>
  <si>
    <t xml:space="preserve">As of</t>
  </si>
  <si>
    <t xml:space="preserve">ECF sweep step-down grid (75%/50%/25%/0% by leverage tier)</t>
  </si>
  <si>
    <t xml:space="preserve">Standard leveraged-loan credit-agreement provision</t>
  </si>
  <si>
    <t xml:space="preserve">Standard practice</t>
  </si>
  <si>
    <t xml:space="preserve">Illustrative tier thresholds/percentages — not any specific credit agreement's actual terms</t>
  </si>
  <si>
    <t xml:space="preserve">Covenant thresholds (5.0x leverage, 2.5x interest coverage, 1.2x DSCR)</t>
  </si>
  <si>
    <t xml:space="preserve">[fill in — actual credit agreement]</t>
  </si>
  <si>
    <t xml:space="preserve">Placeholder defaults; replace with the specific facility's real covenant levels before use</t>
  </si>
  <si>
    <t xml:space="preserve">Approximate YTM: (coupon$+(100-price)/n)/((100+price)/2)</t>
  </si>
  <si>
    <t xml:space="preserve">Standard bond-math approximation for yield including OID</t>
  </si>
  <si>
    <t xml:space="preserve">Approximation, not an exact IRR solve — collapses to the coupon rate exactly at par (Price=100), the built-in sanity check</t>
  </si>
  <si>
    <t xml:space="preserve">Interest computed off beginning-of-period balance only (not average)</t>
  </si>
  <si>
    <t xml:space="preserve">Modeling convention used throughout this repo to avoid circular references between interest and the ECF sweep</t>
  </si>
  <si>
    <t xml:space="preserve">Slightly understates true average-balance interest expense when the balance amortizes or sweeps within the period</t>
  </si>
  <si>
    <t xml:space="preserve">Checks</t>
  </si>
  <si>
    <t xml:space="preserve">Live reconciliation identities -- independent of the model's own formulas, must tie.</t>
  </si>
  <si>
    <t xml:space="preserve">Check</t>
  </si>
  <si>
    <t xml:space="preserve">Result</t>
  </si>
  <si>
    <t xml:space="preserve">Passes when</t>
  </si>
  <si>
    <t xml:space="preserve">Ending balance ties: beginning - amort - sweep = ending (Yr5)</t>
  </si>
  <si>
    <t xml:space="preserve">0 (exact)</t>
  </si>
  <si>
    <t xml:space="preserve">Roll-forward ties: next period's beginning = this period's ending (Yr0-&gt;Yr1)</t>
  </si>
  <si>
    <t xml:space="preserve">Total debt (Assumptions) ties to Debt Schedule Yr0 beginning balance</t>
  </si>
  <si>
    <t xml:space="preserve">ECF sweep never negative (MAX floor holds across the full schedule)</t>
  </si>
  <si>
    <t xml:space="preserve">TRUE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</si>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</sst>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0%;\(0.00%\);\-"/>
    <numFmt numFmtId="167" formatCode="0.00"/>
    <numFmt numFmtId="168" formatCode="#,##0;\(#,##0\);\-"/>
    <numFmt numFmtId="169" formatCode="0.0%;\(0.0%\);\-"/>
    <numFmt numFmtId="170" formatCode="0.0\x"/>
    <numFmt numFmtId="171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6</v>
      </c>
    </row>
    <row r="8" customFormat="false" ht="15" hidden="false" customHeight="false" outlineLevel="0" collapsed="false">
      <c r="B8" s="3" t="s">
        <v>8</v>
      </c>
      <c r="C8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10</v>
      </c>
    </row>
    <row r="4" customFormat="false" ht="15" hidden="false" customHeight="false" outlineLevel="0" collapsed="false">
      <c r="B4" s="5" t="s">
        <v>11</v>
      </c>
    </row>
    <row r="5" customFormat="false" ht="15" hidden="false" customHeight="false" outlineLevel="0" collapsed="false">
      <c r="B5" s="6" t="s">
        <v>12</v>
      </c>
      <c r="C5" s="7" t="n">
        <v>0</v>
      </c>
    </row>
    <row r="6" customFormat="false" ht="15" hidden="false" customHeight="false" outlineLevel="0" collapsed="false">
      <c r="B6" s="6" t="s">
        <v>13</v>
      </c>
      <c r="C6" s="7" t="n">
        <v>0</v>
      </c>
    </row>
    <row r="7" customFormat="false" ht="15" hidden="false" customHeight="false" outlineLevel="0" collapsed="false">
      <c r="B7" s="6" t="s">
        <v>14</v>
      </c>
      <c r="C7" s="8" t="n">
        <v>0.05</v>
      </c>
    </row>
    <row r="8" customFormat="false" ht="15" hidden="false" customHeight="false" outlineLevel="0" collapsed="false">
      <c r="B8" s="6" t="s">
        <v>15</v>
      </c>
      <c r="C8" s="8" t="n">
        <v>0.045</v>
      </c>
    </row>
    <row r="9" customFormat="false" ht="15" hidden="false" customHeight="false" outlineLevel="0" collapsed="false">
      <c r="B9" s="6" t="s">
        <v>16</v>
      </c>
      <c r="C9" s="9" t="n">
        <v>99</v>
      </c>
    </row>
    <row r="10" customFormat="false" ht="15" hidden="false" customHeight="false" outlineLevel="0" collapsed="false">
      <c r="B10" s="6" t="s">
        <v>17</v>
      </c>
      <c r="C10" s="10" t="n">
        <v>7</v>
      </c>
    </row>
    <row r="11" customFormat="false" ht="15" hidden="false" customHeight="false" outlineLevel="0" collapsed="false">
      <c r="B11" s="6" t="s">
        <v>18</v>
      </c>
      <c r="C11" s="11" t="n">
        <v>0.01</v>
      </c>
    </row>
    <row r="13" customFormat="false" ht="15" hidden="false" customHeight="false" outlineLevel="0" collapsed="false">
      <c r="B13" s="5" t="s">
        <v>19</v>
      </c>
    </row>
    <row r="14" customFormat="false" ht="15" hidden="false" customHeight="false" outlineLevel="0" collapsed="false">
      <c r="B14" s="6" t="s">
        <v>20</v>
      </c>
      <c r="C14" s="7" t="n">
        <v>0</v>
      </c>
    </row>
    <row r="15" customFormat="false" ht="15" hidden="false" customHeight="false" outlineLevel="0" collapsed="false">
      <c r="B15" s="6" t="s">
        <v>21</v>
      </c>
      <c r="C15" s="7" t="n">
        <v>0</v>
      </c>
    </row>
    <row r="18" customFormat="false" ht="15" hidden="false" customHeight="false" outlineLevel="0" collapsed="false">
      <c r="B18" s="5" t="s">
        <v>22</v>
      </c>
    </row>
    <row r="19" customFormat="false" ht="15" hidden="false" customHeight="false" outlineLevel="0" collapsed="false">
      <c r="B19" s="1" t="s">
        <v>23</v>
      </c>
      <c r="C19" s="12" t="n">
        <f aca="false">C7+C8</f>
        <v>0.095</v>
      </c>
    </row>
    <row r="20" customFormat="false" ht="15" hidden="false" customHeight="false" outlineLevel="0" collapsed="false">
      <c r="B20" s="1" t="s">
        <v>24</v>
      </c>
      <c r="C20" s="13" t="n">
        <f aca="false">C6*C19</f>
        <v>0</v>
      </c>
    </row>
    <row r="21" customFormat="false" ht="15" hidden="false" customHeight="false" outlineLevel="0" collapsed="false">
      <c r="B21" s="1" t="s">
        <v>25</v>
      </c>
      <c r="C21" s="14" t="n">
        <f aca="false">C6</f>
        <v>0</v>
      </c>
    </row>
    <row r="23" customFormat="false" ht="15" hidden="false" customHeight="false" outlineLevel="0" collapsed="false">
      <c r="B23" s="5" t="s">
        <v>26</v>
      </c>
      <c r="D23" s="15" t="s">
        <v>27</v>
      </c>
    </row>
    <row r="24" customFormat="false" ht="15" hidden="false" customHeight="false" outlineLevel="0" collapsed="false">
      <c r="B24" s="16" t="s">
        <v>28</v>
      </c>
      <c r="C24" s="16" t="s">
        <v>29</v>
      </c>
      <c r="D24" s="16" t="s">
        <v>30</v>
      </c>
    </row>
    <row r="25" customFormat="false" ht="15" hidden="false" customHeight="false" outlineLevel="0" collapsed="false">
      <c r="B25" s="6" t="s">
        <v>31</v>
      </c>
      <c r="C25" s="17" t="n">
        <v>4</v>
      </c>
      <c r="D25" s="11" t="n">
        <v>0.75</v>
      </c>
    </row>
    <row r="26" customFormat="false" ht="15" hidden="false" customHeight="false" outlineLevel="0" collapsed="false">
      <c r="B26" s="6" t="s">
        <v>32</v>
      </c>
      <c r="C26" s="17" t="n">
        <v>3</v>
      </c>
      <c r="D26" s="11" t="n">
        <v>0.5</v>
      </c>
    </row>
    <row r="27" customFormat="false" ht="15" hidden="false" customHeight="false" outlineLevel="0" collapsed="false">
      <c r="B27" s="6" t="s">
        <v>33</v>
      </c>
      <c r="C27" s="17" t="n">
        <v>2</v>
      </c>
      <c r="D27" s="11" t="n">
        <v>0.25</v>
      </c>
    </row>
    <row r="28" customFormat="false" ht="15" hidden="false" customHeight="false" outlineLevel="0" collapsed="false">
      <c r="B28" s="1" t="s">
        <v>34</v>
      </c>
      <c r="C28" s="18"/>
      <c r="D28" s="1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5" min="3" style="1" width="14"/>
    <col collapsed="false" customWidth="true" hidden="false" outlineLevel="0" max="6" min="6" style="1" width="40"/>
  </cols>
  <sheetData>
    <row r="2" customFormat="false" ht="19.7" hidden="false" customHeight="false" outlineLevel="0" collapsed="false">
      <c r="B2" s="2" t="s">
        <v>35</v>
      </c>
    </row>
    <row r="4" customFormat="false" ht="15" hidden="false" customHeight="false" outlineLevel="0" collapsed="false">
      <c r="B4" s="16" t="s">
        <v>36</v>
      </c>
      <c r="C4" s="16" t="s">
        <v>37</v>
      </c>
      <c r="D4" s="16" t="s">
        <v>38</v>
      </c>
      <c r="E4" s="16" t="s">
        <v>39</v>
      </c>
      <c r="F4" s="16" t="s">
        <v>40</v>
      </c>
    </row>
    <row r="5" customFormat="false" ht="15" hidden="false" customHeight="false" outlineLevel="0" collapsed="false">
      <c r="B5" s="1" t="s">
        <v>41</v>
      </c>
      <c r="C5" s="17" t="n">
        <v>5</v>
      </c>
      <c r="D5" s="19" t="str">
        <f aca="false">IFERROR(Assumptions!C21/Assumptions!C14,"-")</f>
        <v>-</v>
      </c>
      <c r="E5" s="20" t="str">
        <f aca="false">IFERROR(C5-D5,"-")</f>
        <v>-</v>
      </c>
      <c r="F5" s="15" t="s">
        <v>42</v>
      </c>
    </row>
    <row r="6" customFormat="false" ht="15" hidden="false" customHeight="false" outlineLevel="0" collapsed="false">
      <c r="B6" s="1" t="s">
        <v>43</v>
      </c>
      <c r="C6" s="17" t="n">
        <v>2.5</v>
      </c>
      <c r="D6" s="19" t="str">
        <f aca="false">IFERROR(Assumptions!C14/Assumptions!C20,"-")</f>
        <v>-</v>
      </c>
      <c r="E6" s="20" t="str">
        <f aca="false">IFERROR(D6-C6,"-")</f>
        <v>-</v>
      </c>
      <c r="F6" s="15" t="s">
        <v>44</v>
      </c>
    </row>
    <row r="7" customFormat="false" ht="15" hidden="false" customHeight="false" outlineLevel="0" collapsed="false">
      <c r="B7" s="1" t="s">
        <v>45</v>
      </c>
      <c r="C7" s="17" t="n">
        <v>1.2</v>
      </c>
      <c r="D7" s="19" t="str">
        <f aca="false">IFERROR(Assumptions!C15/(Assumptions!C6*Assumptions!C11+Assumptions!C20),"-")</f>
        <v>-</v>
      </c>
      <c r="E7" s="20" t="str">
        <f aca="false">IFERROR(D7-C7,"-")</f>
        <v>-</v>
      </c>
      <c r="F7" s="15" t="s">
        <v>46</v>
      </c>
    </row>
    <row r="9" customFormat="false" ht="15" hidden="false" customHeight="false" outlineLevel="0" collapsed="false">
      <c r="B9" s="5" t="s">
        <v>47</v>
      </c>
    </row>
    <row r="10" customFormat="false" ht="15" hidden="false" customHeight="false" outlineLevel="0" collapsed="false">
      <c r="B10" s="1" t="s">
        <v>48</v>
      </c>
      <c r="C10" s="3" t="str">
        <f aca="false">IF(NOT(ISNUMBER(D5)),"-",IF(D5&lt;=C5,"PASS","BREACH"))</f>
        <v>-</v>
      </c>
    </row>
    <row r="11" customFormat="false" ht="15" hidden="false" customHeight="false" outlineLevel="0" collapsed="false">
      <c r="B11" s="1" t="s">
        <v>49</v>
      </c>
      <c r="C11" s="3" t="str">
        <f aca="false">IF(NOT(ISNUMBER(D6)),"-",IF(D6&gt;=C6,"PASS","BREACH"))</f>
        <v>-</v>
      </c>
    </row>
    <row r="12" customFormat="false" ht="15" hidden="false" customHeight="false" outlineLevel="0" collapsed="false">
      <c r="B12" s="1" t="s">
        <v>50</v>
      </c>
      <c r="C12" s="3" t="str">
        <f aca="false">IF(NOT(ISNUMBER(D7)),"-",IF(D7&gt;=C7,"PASS","BREACH"))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8" min="3" style="1" width="12"/>
  </cols>
  <sheetData>
    <row r="2" customFormat="false" ht="19.7" hidden="false" customHeight="false" outlineLevel="0" collapsed="false">
      <c r="B2" s="2" t="s">
        <v>51</v>
      </c>
    </row>
    <row r="3" customFormat="false" ht="15" hidden="false" customHeight="false" outlineLevel="0" collapsed="false">
      <c r="B3" s="15" t="s">
        <v>52</v>
      </c>
    </row>
    <row r="5" customFormat="false" ht="15" hidden="false" customHeight="false" outlineLevel="0" collapsed="false">
      <c r="C5" s="16" t="s">
        <v>53</v>
      </c>
      <c r="D5" s="16" t="s">
        <v>54</v>
      </c>
      <c r="E5" s="16" t="s">
        <v>55</v>
      </c>
      <c r="F5" s="16" t="s">
        <v>56</v>
      </c>
      <c r="G5" s="16" t="s">
        <v>57</v>
      </c>
      <c r="H5" s="16" t="s">
        <v>58</v>
      </c>
    </row>
    <row r="6" customFormat="false" ht="15" hidden="false" customHeight="false" outlineLevel="0" collapsed="false">
      <c r="B6" s="6" t="s">
        <v>59</v>
      </c>
      <c r="C6" s="14" t="n">
        <f aca="false">Assumptions!C6</f>
        <v>0</v>
      </c>
      <c r="D6" s="13" t="n">
        <f aca="false">C12</f>
        <v>0</v>
      </c>
      <c r="E6" s="13" t="n">
        <f aca="false">D12</f>
        <v>0</v>
      </c>
      <c r="F6" s="13" t="n">
        <f aca="false">E12</f>
        <v>0</v>
      </c>
      <c r="G6" s="13" t="n">
        <f aca="false">F12</f>
        <v>0</v>
      </c>
      <c r="H6" s="13" t="n">
        <f aca="false">G12</f>
        <v>0</v>
      </c>
    </row>
    <row r="7" customFormat="false" ht="15" hidden="false" customHeight="false" outlineLevel="0" collapsed="false">
      <c r="B7" s="6" t="s">
        <v>60</v>
      </c>
      <c r="C7" s="13" t="n">
        <f aca="false">Assumptions!$C$6*Assumptions!$C$11</f>
        <v>0</v>
      </c>
      <c r="D7" s="13" t="n">
        <f aca="false">Assumptions!$C$6*Assumptions!$C$11</f>
        <v>0</v>
      </c>
      <c r="E7" s="13" t="n">
        <f aca="false">Assumptions!$C$6*Assumptions!$C$11</f>
        <v>0</v>
      </c>
      <c r="F7" s="13" t="n">
        <f aca="false">Assumptions!$C$6*Assumptions!$C$11</f>
        <v>0</v>
      </c>
      <c r="G7" s="13" t="n">
        <f aca="false">Assumptions!$C$6*Assumptions!$C$11</f>
        <v>0</v>
      </c>
      <c r="H7" s="13" t="n">
        <f aca="false">Assumptions!$C$6*Assumptions!$C$11</f>
        <v>0</v>
      </c>
    </row>
    <row r="8" customFormat="false" ht="15" hidden="false" customHeight="false" outlineLevel="0" collapsed="false">
      <c r="B8" s="6" t="s">
        <v>61</v>
      </c>
      <c r="C8" s="20" t="str">
        <f aca="false">IFERROR(C6/Assumptions!$C$14,"-")</f>
        <v>-</v>
      </c>
      <c r="D8" s="20" t="str">
        <f aca="false">IFERROR(D6/Assumptions!$C$14,"-")</f>
        <v>-</v>
      </c>
      <c r="E8" s="20" t="str">
        <f aca="false">IFERROR(E6/Assumptions!$C$14,"-")</f>
        <v>-</v>
      </c>
      <c r="F8" s="20" t="str">
        <f aca="false">IFERROR(F6/Assumptions!$C$14,"-")</f>
        <v>-</v>
      </c>
      <c r="G8" s="20" t="str">
        <f aca="false">IFERROR(G6/Assumptions!$C$14,"-")</f>
        <v>-</v>
      </c>
      <c r="H8" s="20" t="str">
        <f aca="false">IFERROR(H6/Assumptions!$C$14,"-")</f>
        <v>-</v>
      </c>
    </row>
    <row r="9" customFormat="false" ht="15" hidden="false" customHeight="false" outlineLevel="0" collapsed="false">
      <c r="B9" s="6" t="s">
        <v>62</v>
      </c>
      <c r="C9" s="21" t="n">
        <f aca="false">IF(NOT(ISNUMBER(C8)),0,IF(C8&gt;Assumptions!$C$25,Assumptions!$D$25,IF(C8&gt;Assumptions!$C$26,Assumptions!$D$26,IF(C8&gt;Assumptions!$C$27,Assumptions!$D$27,Assumptions!$D$28))))</f>
        <v>0</v>
      </c>
      <c r="D9" s="21" t="n">
        <f aca="false">IF(NOT(ISNUMBER(D8)),0,IF(D8&gt;Assumptions!$C$25,Assumptions!$D$25,IF(D8&gt;Assumptions!$C$26,Assumptions!$D$26,IF(D8&gt;Assumptions!$C$27,Assumptions!$D$27,Assumptions!$D$28))))</f>
        <v>0</v>
      </c>
      <c r="E9" s="21" t="n">
        <f aca="false">IF(NOT(ISNUMBER(E8)),0,IF(E8&gt;Assumptions!$C$25,Assumptions!$D$25,IF(E8&gt;Assumptions!$C$26,Assumptions!$D$26,IF(E8&gt;Assumptions!$C$27,Assumptions!$D$27,Assumptions!$D$28))))</f>
        <v>0</v>
      </c>
      <c r="F9" s="21" t="n">
        <f aca="false">IF(NOT(ISNUMBER(F8)),0,IF(F8&gt;Assumptions!$C$25,Assumptions!$D$25,IF(F8&gt;Assumptions!$C$26,Assumptions!$D$26,IF(F8&gt;Assumptions!$C$27,Assumptions!$D$27,Assumptions!$D$28))))</f>
        <v>0</v>
      </c>
      <c r="G9" s="21" t="n">
        <f aca="false">IF(NOT(ISNUMBER(G8)),0,IF(G8&gt;Assumptions!$C$25,Assumptions!$D$25,IF(G8&gt;Assumptions!$C$26,Assumptions!$D$26,IF(G8&gt;Assumptions!$C$27,Assumptions!$D$27,Assumptions!$D$28))))</f>
        <v>0</v>
      </c>
      <c r="H9" s="21" t="n">
        <f aca="false">IF(NOT(ISNUMBER(H8)),0,IF(H8&gt;Assumptions!$C$25,Assumptions!$D$25,IF(H8&gt;Assumptions!$C$26,Assumptions!$D$26,IF(H8&gt;Assumptions!$C$27,Assumptions!$D$27,Assumptions!$D$28))))</f>
        <v>0</v>
      </c>
    </row>
    <row r="10" customFormat="false" ht="15" hidden="false" customHeight="false" outlineLevel="0" collapsed="false">
      <c r="B10" s="6" t="s">
        <v>63</v>
      </c>
      <c r="C10" s="13" t="n">
        <f aca="false">C6*Assumptions!$C$19</f>
        <v>0</v>
      </c>
      <c r="D10" s="13" t="n">
        <f aca="false">D6*Assumptions!$C$19</f>
        <v>0</v>
      </c>
      <c r="E10" s="13" t="n">
        <f aca="false">E6*Assumptions!$C$19</f>
        <v>0</v>
      </c>
      <c r="F10" s="13" t="n">
        <f aca="false">F6*Assumptions!$C$19</f>
        <v>0</v>
      </c>
      <c r="G10" s="13" t="n">
        <f aca="false">G6*Assumptions!$C$19</f>
        <v>0</v>
      </c>
      <c r="H10" s="13" t="n">
        <f aca="false">H6*Assumptions!$C$19</f>
        <v>0</v>
      </c>
    </row>
    <row r="11" customFormat="false" ht="15" hidden="false" customHeight="false" outlineLevel="0" collapsed="false">
      <c r="B11" s="6" t="s">
        <v>64</v>
      </c>
      <c r="C11" s="13" t="n">
        <f aca="false">MAX(Assumptions!$C$15-C10-C7,0)*C9</f>
        <v>0</v>
      </c>
      <c r="D11" s="13" t="n">
        <f aca="false">MAX(Assumptions!$C$15-D10-D7,0)*D9</f>
        <v>0</v>
      </c>
      <c r="E11" s="13" t="n">
        <f aca="false">MAX(Assumptions!$C$15-E10-E7,0)*E9</f>
        <v>0</v>
      </c>
      <c r="F11" s="13" t="n">
        <f aca="false">MAX(Assumptions!$C$15-F10-F7,0)*F9</f>
        <v>0</v>
      </c>
      <c r="G11" s="13" t="n">
        <f aca="false">MAX(Assumptions!$C$15-G10-G7,0)*G9</f>
        <v>0</v>
      </c>
      <c r="H11" s="13" t="n">
        <f aca="false">MAX(Assumptions!$C$15-H10-H7,0)*H9</f>
        <v>0</v>
      </c>
    </row>
    <row r="12" customFormat="false" ht="15" hidden="false" customHeight="false" outlineLevel="0" collapsed="false">
      <c r="B12" s="3" t="s">
        <v>65</v>
      </c>
      <c r="C12" s="13" t="n">
        <f aca="false">C6-C7-C11</f>
        <v>0</v>
      </c>
      <c r="D12" s="13" t="n">
        <f aca="false">D6-D7-D11</f>
        <v>0</v>
      </c>
      <c r="E12" s="13" t="n">
        <f aca="false">E6-E7-E11</f>
        <v>0</v>
      </c>
      <c r="F12" s="13" t="n">
        <f aca="false">F6-F7-F11</f>
        <v>0</v>
      </c>
      <c r="G12" s="13" t="n">
        <f aca="false">G6-G7-G11</f>
        <v>0</v>
      </c>
      <c r="H12" s="13" t="n">
        <f aca="false">H6-H7-H11</f>
        <v>0</v>
      </c>
    </row>
    <row r="14" customFormat="false" ht="15" hidden="false" customHeight="false" outlineLevel="0" collapsed="false">
      <c r="B14" s="3" t="s">
        <v>66</v>
      </c>
      <c r="C14" s="22" t="str">
        <f aca="false">IFERROR(C12/Assumptions!$C$14,"-")</f>
        <v>-</v>
      </c>
      <c r="D14" s="22" t="str">
        <f aca="false">IFERROR(D12/Assumptions!$C$14,"-")</f>
        <v>-</v>
      </c>
      <c r="E14" s="22" t="str">
        <f aca="false">IFERROR(E12/Assumptions!$C$14,"-")</f>
        <v>-</v>
      </c>
      <c r="F14" s="22" t="str">
        <f aca="false">IFERROR(F12/Assumptions!$C$14,"-")</f>
        <v>-</v>
      </c>
      <c r="G14" s="22" t="str">
        <f aca="false">IFERROR(G12/Assumptions!$C$14,"-")</f>
        <v>-</v>
      </c>
      <c r="H14" s="22" t="str">
        <f aca="false">IFERROR(H12/Assumptions!$C$14,"-")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4"/>
  </cols>
  <sheetData>
    <row r="2" customFormat="false" ht="19.7" hidden="false" customHeight="false" outlineLevel="0" collapsed="false">
      <c r="B2" s="2" t="s">
        <v>67</v>
      </c>
    </row>
    <row r="4" customFormat="false" ht="15" hidden="false" customHeight="false" outlineLevel="0" collapsed="false">
      <c r="B4" s="1" t="s">
        <v>68</v>
      </c>
      <c r="C4" s="23" t="n">
        <f aca="false">Assumptions!C19</f>
        <v>0.095</v>
      </c>
    </row>
    <row r="5" customFormat="false" ht="15" hidden="false" customHeight="false" outlineLevel="0" collapsed="false">
      <c r="B5" s="1" t="s">
        <v>69</v>
      </c>
      <c r="C5" s="24" t="n">
        <f aca="false">Assumptions!C9</f>
        <v>99</v>
      </c>
    </row>
    <row r="6" customFormat="false" ht="15" hidden="false" customHeight="false" outlineLevel="0" collapsed="false">
      <c r="B6" s="1" t="s">
        <v>17</v>
      </c>
      <c r="C6" s="25" t="n">
        <f aca="false">Assumptions!C10</f>
        <v>7</v>
      </c>
    </row>
    <row r="8" customFormat="false" ht="15" hidden="false" customHeight="false" outlineLevel="0" collapsed="false">
      <c r="B8" s="3" t="s">
        <v>70</v>
      </c>
      <c r="C8" s="26" t="n">
        <f aca="false">IFERROR((C4*100+(100-C5)/C6)/((100+C5)/2),"-")</f>
        <v>0.0969131371141421</v>
      </c>
      <c r="D8" s="15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46"/>
  </cols>
  <sheetData>
    <row r="2" customFormat="false" ht="19.7" hidden="false" customHeight="false" outlineLevel="0" collapsed="false">
      <c r="B2" s="2" t="s">
        <v>72</v>
      </c>
    </row>
    <row r="3" customFormat="false" ht="15" hidden="false" customHeight="false" outlineLevel="0" collapsed="false">
      <c r="B3" s="15" t="s">
        <v>73</v>
      </c>
    </row>
    <row r="5" customFormat="false" ht="15" hidden="false" customHeight="false" outlineLevel="0" collapsed="false">
      <c r="B5" s="16" t="s">
        <v>74</v>
      </c>
      <c r="C5" s="16" t="s">
        <v>75</v>
      </c>
      <c r="D5" s="16" t="s">
        <v>76</v>
      </c>
      <c r="E5" s="16" t="s">
        <v>40</v>
      </c>
    </row>
    <row r="6" customFormat="false" ht="15" hidden="false" customHeight="false" outlineLevel="0" collapsed="false">
      <c r="B6" s="27" t="s">
        <v>77</v>
      </c>
      <c r="C6" s="27" t="s">
        <v>78</v>
      </c>
      <c r="D6" s="27" t="s">
        <v>79</v>
      </c>
      <c r="E6" s="28" t="s">
        <v>80</v>
      </c>
    </row>
    <row r="7" customFormat="false" ht="15" hidden="false" customHeight="false" outlineLevel="0" collapsed="false">
      <c r="B7" s="27" t="s">
        <v>81</v>
      </c>
      <c r="C7" s="27" t="s">
        <v>82</v>
      </c>
      <c r="D7" s="27" t="s">
        <v>2</v>
      </c>
      <c r="E7" s="28" t="s">
        <v>83</v>
      </c>
    </row>
    <row r="8" customFormat="false" ht="15" hidden="false" customHeight="false" outlineLevel="0" collapsed="false">
      <c r="B8" s="27" t="s">
        <v>84</v>
      </c>
      <c r="C8" s="27" t="s">
        <v>85</v>
      </c>
      <c r="D8" s="27" t="s">
        <v>79</v>
      </c>
      <c r="E8" s="28" t="s">
        <v>86</v>
      </c>
    </row>
    <row r="9" customFormat="false" ht="15" hidden="false" customHeight="false" outlineLevel="0" collapsed="false">
      <c r="B9" s="27" t="s">
        <v>87</v>
      </c>
      <c r="C9" s="27" t="s">
        <v>88</v>
      </c>
      <c r="D9" s="27" t="s">
        <v>79</v>
      </c>
      <c r="E9" s="28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46"/>
  </cols>
  <sheetData>
    <row r="2" customFormat="false" ht="19.7" hidden="false" customHeight="false" outlineLevel="0" collapsed="false">
      <c r="B2" s="2" t="s">
        <v>90</v>
      </c>
    </row>
    <row r="3" customFormat="false" ht="15" hidden="false" customHeight="false" outlineLevel="0" collapsed="false">
      <c r="B3" s="15" t="s">
        <v>91</v>
      </c>
    </row>
    <row r="5" customFormat="false" ht="15" hidden="false" customHeight="false" outlineLevel="0" collapsed="false">
      <c r="B5" s="16" t="s">
        <v>92</v>
      </c>
      <c r="C5" s="16" t="s">
        <v>93</v>
      </c>
      <c r="D5" s="16" t="s">
        <v>94</v>
      </c>
    </row>
    <row r="6" customFormat="false" ht="15" hidden="false" customHeight="false" outlineLevel="0" collapsed="false">
      <c r="B6" s="27" t="s">
        <v>95</v>
      </c>
      <c r="C6" s="29" t="n">
        <f aca="false">'Debt Schedule'!H12-('Debt Schedule'!H6-'Debt Schedule'!H7-'Debt Schedule'!H11)</f>
        <v>0</v>
      </c>
      <c r="D6" s="28" t="s">
        <v>96</v>
      </c>
    </row>
    <row r="7" customFormat="false" ht="15" hidden="false" customHeight="false" outlineLevel="0" collapsed="false">
      <c r="B7" s="27" t="s">
        <v>97</v>
      </c>
      <c r="C7" s="29" t="n">
        <f aca="false">'Debt Schedule'!D6-'Debt Schedule'!C12</f>
        <v>0</v>
      </c>
      <c r="D7" s="28" t="s">
        <v>96</v>
      </c>
    </row>
    <row r="8" customFormat="false" ht="15" hidden="false" customHeight="false" outlineLevel="0" collapsed="false">
      <c r="B8" s="27" t="s">
        <v>98</v>
      </c>
      <c r="C8" s="29" t="n">
        <f aca="false">Assumptions!C21-'Debt Schedule'!C6</f>
        <v>0</v>
      </c>
      <c r="D8" s="28" t="s">
        <v>96</v>
      </c>
    </row>
    <row r="9" customFormat="false" ht="15" hidden="false" customHeight="false" outlineLevel="0" collapsed="false">
      <c r="B9" s="27" t="s">
        <v>99</v>
      </c>
      <c r="C9" s="29" t="b">
        <f aca="false">IF(MIN('Debt Schedule'!C11:H11)&gt;=0,TRUE(),FALSE())</f>
        <v>1</v>
      </c>
      <c r="D9" s="28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101</v>
      </c>
    </row>
    <row r="4" customFormat="false" ht="15" hidden="false" customHeight="false" outlineLevel="0" collapsed="false"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</row>
    <row r="5" customFormat="false" ht="15" hidden="false" customHeight="false" outlineLevel="0" collapsed="false">
      <c r="B5" s="18"/>
      <c r="C5" s="18"/>
      <c r="D5" s="18"/>
      <c r="E5" s="18"/>
      <c r="F5" s="18"/>
    </row>
    <row r="6" customFormat="false" ht="15" hidden="false" customHeight="false" outlineLevel="0" collapsed="false">
      <c r="B6" s="18"/>
      <c r="C6" s="18"/>
      <c r="D6" s="18"/>
      <c r="E6" s="18"/>
      <c r="F6" s="18"/>
    </row>
    <row r="7" customFormat="false" ht="15" hidden="false" customHeight="false" outlineLevel="0" collapsed="false">
      <c r="B7" s="18"/>
      <c r="C7" s="18"/>
      <c r="D7" s="18"/>
      <c r="E7" s="18"/>
      <c r="F7" s="18"/>
    </row>
    <row r="8" customFormat="false" ht="15" hidden="false" customHeight="false" outlineLevel="0" collapsed="false">
      <c r="B8" s="18"/>
      <c r="C8" s="18"/>
      <c r="D8" s="18"/>
      <c r="E8" s="18"/>
      <c r="F8" s="18"/>
    </row>
    <row r="9" customFormat="false" ht="15" hidden="false" customHeight="false" outlineLevel="0" collapsed="false">
      <c r="B9" s="18"/>
      <c r="C9" s="18"/>
      <c r="D9" s="18"/>
      <c r="E9" s="18"/>
      <c r="F9" s="18"/>
    </row>
    <row r="10" customFormat="false" ht="15" hidden="false" customHeight="false" outlineLevel="0" collapsed="false">
      <c r="B10" s="18"/>
      <c r="C10" s="18"/>
      <c r="D10" s="18"/>
      <c r="E10" s="18"/>
      <c r="F10" s="18"/>
    </row>
    <row r="11" customFormat="false" ht="15" hidden="false" customHeight="false" outlineLevel="0" collapsed="false">
      <c r="B11" s="18"/>
      <c r="C11" s="18"/>
      <c r="D11" s="18"/>
      <c r="E11" s="18"/>
      <c r="F11" s="18"/>
    </row>
    <row r="12" customFormat="false" ht="15" hidden="false" customHeight="false" outlineLevel="0" collapsed="false">
      <c r="B12" s="18"/>
      <c r="C12" s="18"/>
      <c r="D12" s="18"/>
      <c r="E12" s="18"/>
      <c r="F12" s="18"/>
    </row>
    <row r="13" customFormat="false" ht="15" hidden="false" customHeight="false" outlineLevel="0" collapsed="false">
      <c r="B13" s="18"/>
      <c r="C13" s="18"/>
      <c r="D13" s="18"/>
      <c r="E13" s="18"/>
      <c r="F13" s="18"/>
    </row>
    <row r="14" customFormat="false" ht="15" hidden="false" customHeight="false" outlineLevel="0" collapsed="false">
      <c r="B14" s="18"/>
      <c r="C14" s="18"/>
      <c r="D14" s="18"/>
      <c r="E14" s="18"/>
      <c r="F1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2026-08-04T13:42:26Z</dcterms:created>
  <dc:creator>openpyxl</dc:creator>
  <dc:description/>
  <dc:language>en-US</dc:language>
  <cp:lastModifiedBy/>
  <dcterms:modified xsi:type="dcterms:W3CDTF">2026-08-04T13:42:26Z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