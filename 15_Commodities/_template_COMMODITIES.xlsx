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Futures Curve" sheetId="2" state="visible" r:id="rId4"/>
    <sheet name="Cost of Carry" sheetId="3" state="visible" r:id="rId5"/>
    <sheet name="Roll Yield" sheetId="4" state="visible" r:id="rId6"/>
    <sheet name="Hedging" sheetId="5" state="visible" r:id="rId7"/>
    <sheet name="Sensitivity" sheetId="6" state="visible" r:id="rId8"/>
    <sheet name="Sources" sheetId="7" state="visible" r:id="rId9"/>
    <sheet name="Checks" sheetId="8" state="visible" r:id="rId10"/>
    <sheet name="RefreshLog"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<sst xmlns="http://schemas.openxmlformats.org/spreadsheetml/2006/main" count="100" uniqueCount="92">
  <si>
    <t xml:space="preserve">[COMMODITY] — Commodities Model</t>
  </si>
  <si>
    <t xml:space="preserve">Commodity:</t>
  </si>
  <si>
    <t xml:space="preserve">[e.g. WTI Crude, Corn, Copper]</t>
  </si>
  <si>
    <t xml:space="preserve">Exchange:</t>
  </si>
  <si>
    <t xml:space="preserve">[NYMEX / CME / ICE]</t>
  </si>
  <si>
    <t xml:space="preserve">Last refreshed:</t>
  </si>
  <si>
    <t xml:space="preserve">[date]</t>
  </si>
  <si>
    <t xml:space="preserve">Next roll date:</t>
  </si>
  <si>
    <t xml:space="preserve">Refresh cadence:</t>
  </si>
  <si>
    <t xml:space="preserve">Weekly (daily near roll/expiry)</t>
  </si>
  <si>
    <t xml:space="preserve">Futures Curve — Contango / Backwardation</t>
  </si>
  <si>
    <t xml:space="preserve">Contract month</t>
  </si>
  <si>
    <t xml:space="preserve">Price</t>
  </si>
  <si>
    <t xml:space="preserve">Days to expiry</t>
  </si>
  <si>
    <t xml:space="preserve">Annualized basis %</t>
  </si>
  <si>
    <t xml:space="preserve">vs. front month</t>
  </si>
  <si>
    <t xml:space="preserve">Curve shape</t>
  </si>
  <si>
    <t xml:space="preserve">M1 (front)</t>
  </si>
  <si>
    <t xml:space="preserve">M2</t>
  </si>
  <si>
    <t xml:space="preserve">M3</t>
  </si>
  <si>
    <t xml:space="preserve">M6</t>
  </si>
  <si>
    <t xml:space="preserve">M12</t>
  </si>
  <si>
    <t xml:space="preserve">Cost of Carry &amp; Implied Convenience Yield</t>
  </si>
  <si>
    <t xml:space="preserve">The Futures Curve tab shows THAT a curve is in contango or backwardation. This explains WHY: the cost-of-carry model says F = S x e^((r+u-y)T) -- given the market's own observed futures prices, solve for y, the convenience yield, which is the market's revealed value of holding physical inventory right now (stockout risk, production flexibility) rather than buying the future.</t>
  </si>
  <si>
    <t xml:space="preserve">Inputs</t>
  </si>
  <si>
    <t xml:space="preserve">Spot price</t>
  </si>
  <si>
    <t xml:space="preserve">Risk-free rate, r (%)</t>
  </si>
  <si>
    <t xml:space="preserve">Storage cost, u (% of spot, annualized)</t>
  </si>
  <si>
    <t xml:space="preserve">T (yrs)</t>
  </si>
  <si>
    <t xml:space="preserve">Observed futures price</t>
  </si>
  <si>
    <t xml:space="preserve">Theoretical price (no convenience yield)</t>
  </si>
  <si>
    <t xml:space="preserve">Implied convenience yield, y (%)</t>
  </si>
  <si>
    <t xml:space="preserve">Reprice check (F(y) - observed)</t>
  </si>
  <si>
    <t xml:space="preserve">Reading it: y &gt; r+u means the curve is in backwardation (physical premium exceeds financing+storage cost).</t>
  </si>
  <si>
    <t xml:space="preserve">y &lt; r+u means contango (holding physical isn't worth the storage+financing drag) -- consistent with the Futures Curve tab's curve-shape column.</t>
  </si>
  <si>
    <t xml:space="preserve">Roll Yield</t>
  </si>
  <si>
    <t xml:space="preserve">Expiring contract price</t>
  </si>
  <si>
    <t xml:space="preserve">Next contract price</t>
  </si>
  <si>
    <t xml:space="preserve">Roll yield (%)</t>
  </si>
  <si>
    <t xml:space="preserve">Positive = backwardation roll gain (long-only benefits). Negative = contango roll cost.</t>
  </si>
  <si>
    <t xml:space="preserve">Annual roll cost/gain estimate (12 rolls, illustrative)</t>
  </si>
  <si>
    <t xml:space="preserve">Producer / Consumer Hedge Model</t>
  </si>
  <si>
    <t xml:space="preserve">Physical exposure (units)</t>
  </si>
  <si>
    <t xml:space="preserve">Futures contract size (units)</t>
  </si>
  <si>
    <t xml:space="preserve">Futures price (hedge contract)</t>
  </si>
  <si>
    <t xml:space="preserve">Hedge ratio (beta-adjusted)</t>
  </si>
  <si>
    <t xml:space="preserve">Outputs</t>
  </si>
  <si>
    <t xml:space="preserve">Contracts needed</t>
  </si>
  <si>
    <t xml:space="preserve">Notional hedged</t>
  </si>
  <si>
    <t xml:space="preserve">Unhedged basis exposure</t>
  </si>
  <si>
    <t xml:space="preserve">Sensitivity — P&amp;L by Spot Move</t>
  </si>
  <si>
    <t xml:space="preserve">Spot move %</t>
  </si>
  <si>
    <t xml:space="preserve">Unhedged P&amp;L</t>
  </si>
  <si>
    <t xml:space="preserve">Hedged P&amp;L</t>
  </si>
  <si>
    <t xml:space="preserve">Sources</t>
  </si>
  <si>
    <t xml:space="preserve">What each material assumption or convention in this model comes from.</t>
  </si>
  <si>
    <t xml:space="preserve">Assumption / convention</t>
  </si>
  <si>
    <t xml:space="preserve">Source</t>
  </si>
  <si>
    <t xml:space="preserve">As of</t>
  </si>
  <si>
    <t xml:space="preserve">Note</t>
  </si>
  <si>
    <t xml:space="preserve">Cost-of-carry model, F = S x e^((r+u-y)T)</t>
  </si>
  <si>
    <t xml:space="preserve">Standard commodity futures pricing theory (theory of storage)</t>
  </si>
  <si>
    <t xml:space="preserve">Standard practice</t>
  </si>
  <si>
    <t xml:space="preserve">Assumes continuous compounding and a constant storage cost -- real curves can have seasonal storage-cost variation this doesn't capture</t>
  </si>
  <si>
    <t xml:space="preserve">Implied convenience yield solved directly from the observed futures price</t>
  </si>
  <si>
    <t xml:space="preserve">Derived from the cost-of-carry identity, not statistically fitted</t>
  </si>
  <si>
    <t xml:space="preserve">Derived</t>
  </si>
  <si>
    <t xml:space="preserve">A point estimate per contract month, not a fitted term-structure model</t>
  </si>
  <si>
    <t xml:space="preserve">Roll yield ~ (expiring price / next price) - 1</t>
  </si>
  <si>
    <t xml:space="preserve">Standard commodities practitioner approximation</t>
  </si>
  <si>
    <t xml:space="preserve">Assumes a constant-maturity roll; a real fund's roll depends on its specific contract weighting schedule</t>
  </si>
  <si>
    <t xml:space="preserve">Hedge contracts needed = physical exposure x hedge ratio / contract size</t>
  </si>
  <si>
    <t xml:space="preserve">Standard futures hedging formula</t>
  </si>
  <si>
    <t xml:space="preserve">Hedge ratio should reflect basis-risk-adjusted beta, not an assumed 1:1 unless justified</t>
  </si>
  <si>
    <t xml:space="preserve">Checks</t>
  </si>
  <si>
    <t xml:space="preserve">Live reconciliation identities -- independent of the model's own formulas, must tie.</t>
  </si>
  <si>
    <t xml:space="preserve">Check</t>
  </si>
  <si>
    <t xml:space="preserve">Result</t>
  </si>
  <si>
    <t xml:space="preserve">Passes when</t>
  </si>
  <si>
    <t xml:space="preserve">Sum of |reprice check| across all 5 contract months (Cost of Carry)</t>
  </si>
  <si>
    <t xml:space="preserve">~0 -- each month's implied convenience yield exactly reprices the observed futures price by construction</t>
  </si>
  <si>
    <t xml:space="preserve">Unhedged P&amp;L is zero at a 0% spot move</t>
  </si>
  <si>
    <t xml:space="preserve">0 (exact)</t>
  </si>
  <si>
    <t xml:space="preserve">Hedged P&amp;L is zero at a 0% spot move</t>
  </si>
  <si>
    <t xml:space="preserve">Curve-shape label matches the sign of the annualized basis (M12 vs. M1)</t>
  </si>
  <si>
    <t xml:space="preserve">TRUE</t>
  </si>
  <si>
    <t xml:space="preserve">Refresh Log</t>
  </si>
  <si>
    <t xml:space="preserve">Date</t>
  </si>
  <si>
    <t xml:space="preserve">Trigger</t>
  </si>
  <si>
    <t xml:space="preserve">What changed</t>
  </si>
  <si>
    <t xml:space="preserve">Reviewer notes</t>
  </si>
  <si>
    <t xml:space="preserve">Next check</t>
  </si>
</sst>
</file>

<file path=xl/styles.xml><?xml version="1.0" encoding="utf-8"?>
<styleSheet xmlns="http://schemas.openxmlformats.org/spreadsheetml/2006/main">
  <numFmts count="10">
    <numFmt numFmtId="164" formatCode="General"/>
    <numFmt numFmtId="165" formatCode="\$#,##0.00;&quot;($&quot;#,##0.00\);\-"/>
    <numFmt numFmtId="166" formatCode="#,##0;\(#,##0\);\-"/>
    <numFmt numFmtId="167" formatCode="0.0%;\(0.0%\);\-"/>
    <numFmt numFmtId="168" formatCode="0.00%;\(0.00%\);\-"/>
    <numFmt numFmtId="169" formatCode="0.000"/>
    <numFmt numFmtId="170" formatCode="0.0000"/>
    <numFmt numFmtId="171" formatCode="0.00"/>
    <numFmt numFmtId="172" formatCode="\$#,##0;&quot;($&quot;#,##0\);\-"/>
    <numFmt numFmtId="173" formatCode="General"/>
  </numFmts>
  <fonts count="11">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0"/>
      <name val="Arial"/>
      <family val="0"/>
      <charset val="1"/>
    </font>
    <font>
      <sz val="10"/>
      <color rgb="FF0000FF"/>
      <name val="Arial"/>
      <family val="0"/>
      <charset val="1"/>
    </font>
    <font>
      <b val="true"/>
      <sz val="11"/>
      <color rgb="FFFFFFFF"/>
      <name val="Arial"/>
      <family val="0"/>
      <charset val="1"/>
    </font>
    <font>
      <sz val="10"/>
      <color rgb="FF000000"/>
      <name val="Arial"/>
      <family val="0"/>
      <charset val="1"/>
    </font>
    <font>
      <i val="true"/>
      <sz val="8"/>
      <color rgb="FF808080"/>
      <name val="Arial"/>
      <family val="0"/>
      <charset val="1"/>
    </font>
    <font>
      <sz val="10"/>
      <color rgb="FF00800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D9D9D9"/>
        <bgColor rgb="FFBFBFB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6" fillId="0" borderId="1" xfId="0" applyFont="true" applyBorder="true" applyAlignment="true" applyProtection="true">
      <alignment horizontal="general" vertical="bottom" textRotation="0" wrapText="false" indent="0" shrinkToFit="false"/>
      <protection locked="true" hidden="false"/>
    </xf>
    <xf numFmtId="166" fontId="6" fillId="0" borderId="1" xfId="0" applyFont="true" applyBorder="true" applyAlignment="true" applyProtection="true">
      <alignment horizontal="general" vertical="bottom" textRotation="0" wrapText="false" indent="0" shrinkToFit="false"/>
      <protection locked="true" hidden="false"/>
    </xf>
    <xf numFmtId="167"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5" fontId="6" fillId="4" borderId="1" xfId="0" applyFont="true" applyBorder="true" applyAlignment="true" applyProtection="true">
      <alignment horizontal="general" vertical="bottom" textRotation="0" wrapText="false" indent="0" shrinkToFit="false"/>
      <protection locked="true" hidden="false"/>
    </xf>
    <xf numFmtId="168" fontId="6" fillId="4"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6" fontId="10" fillId="0" borderId="1" xfId="0" applyFont="true" applyBorder="true" applyAlignment="true" applyProtection="true">
      <alignment horizontal="general" vertical="bottom" textRotation="0" wrapText="false" indent="0" shrinkToFit="false"/>
      <protection locked="true" hidden="false"/>
    </xf>
    <xf numFmtId="169" fontId="0" fillId="0" borderId="1" xfId="0" applyFont="false" applyBorder="true" applyAlignment="true" applyProtection="true">
      <alignment horizontal="general" vertical="bottom" textRotation="0" wrapText="false" indent="0" shrinkToFit="false"/>
      <protection locked="true" hidden="false"/>
    </xf>
    <xf numFmtId="165" fontId="10" fillId="0" borderId="1" xfId="0" applyFont="tru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general" vertical="bottom" textRotation="0" wrapText="false" indent="0" shrinkToFit="false"/>
      <protection locked="true" hidden="false"/>
    </xf>
    <xf numFmtId="168" fontId="5" fillId="0" borderId="1" xfId="0" applyFont="true" applyBorder="true" applyAlignment="true" applyProtection="true">
      <alignment horizontal="general" vertical="bottom" textRotation="0" wrapText="false" indent="0" shrinkToFit="false"/>
      <protection locked="true" hidden="false"/>
    </xf>
    <xf numFmtId="170" fontId="0" fillId="0" borderId="1" xfId="0" applyFont="false" applyBorder="tru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67" fontId="5"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6" fontId="6" fillId="4" borderId="1" xfId="0" applyFont="true" applyBorder="true" applyAlignment="true" applyProtection="true">
      <alignment horizontal="general" vertical="bottom" textRotation="0" wrapText="false" indent="0" shrinkToFit="false"/>
      <protection locked="true" hidden="false"/>
    </xf>
    <xf numFmtId="171" fontId="6" fillId="4" borderId="1" xfId="0" applyFont="true" applyBorder="true" applyAlignment="true" applyProtection="true">
      <alignment horizontal="general" vertical="bottom" textRotation="0" wrapText="false" indent="0" shrinkToFit="false"/>
      <protection locked="true" hidden="false"/>
    </xf>
    <xf numFmtId="166" fontId="5" fillId="0" borderId="1" xfId="0" applyFont="true" applyBorder="true" applyAlignment="true" applyProtection="true">
      <alignment horizontal="general" vertical="bottom" textRotation="0" wrapText="false" indent="0" shrinkToFit="false"/>
      <protection locked="true" hidden="false"/>
    </xf>
    <xf numFmtId="172" fontId="0" fillId="0" borderId="1" xfId="0" applyFont="false" applyBorder="true" applyAlignment="true" applyProtection="true">
      <alignment horizontal="general" vertical="bottom" textRotation="0" wrapText="false" indent="0" shrinkToFit="false"/>
      <protection locked="true" hidden="false"/>
    </xf>
    <xf numFmtId="167" fontId="5" fillId="3" borderId="0" xfId="0" applyFont="true" applyBorder="fals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73" fontId="5" fillId="0" borderId="1" xfId="0" applyFont="true" applyBorder="true" applyAlignment="true" applyProtection="true">
      <alignment horizontal="general" vertical="bottom" textRotation="0" wrapText="false" indent="0" shrinkToFit="false"/>
      <protection locked="true" hidden="false"/>
    </xf>
    <xf numFmtId="172" fontId="5"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40"/>
    <col collapsed="false" customWidth="true" hidden="false" outlineLevel="0" max="4" min="4" style="1" width="4"/>
  </cols>
  <sheetData>
    <row r="2" customFormat="false" ht="19.7" hidden="false" customHeight="false" outlineLevel="0" collapsed="false">
      <c r="B2" s="2" t="s">
        <v>0</v>
      </c>
    </row>
    <row r="4" customFormat="false" ht="15" hidden="false" customHeight="false" outlineLevel="0" collapsed="false">
      <c r="B4" s="3" t="s">
        <v>1</v>
      </c>
      <c r="C4" s="4" t="s">
        <v>2</v>
      </c>
    </row>
    <row r="5" customFormat="false" ht="15" hidden="false" customHeight="false" outlineLevel="0" collapsed="false">
      <c r="B5" s="3" t="s">
        <v>3</v>
      </c>
      <c r="C5" s="4" t="s">
        <v>4</v>
      </c>
    </row>
    <row r="6" customFormat="false" ht="15" hidden="false" customHeight="false" outlineLevel="0" collapsed="false">
      <c r="B6" s="3" t="s">
        <v>5</v>
      </c>
      <c r="C6" s="4" t="s">
        <v>6</v>
      </c>
    </row>
    <row r="7" customFormat="false" ht="15" hidden="false" customHeight="false" outlineLevel="0" collapsed="false">
      <c r="B7" s="3" t="s">
        <v>7</v>
      </c>
      <c r="C7" s="4" t="s">
        <v>6</v>
      </c>
    </row>
    <row r="8" customFormat="false" ht="15" hidden="false" customHeight="false" outlineLevel="0" collapsed="false">
      <c r="B8" s="3" t="s">
        <v>8</v>
      </c>
      <c r="C8" s="4"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16"/>
    <col collapsed="false" customWidth="true" hidden="false" outlineLevel="0" max="6" min="3" style="1" width="14"/>
    <col collapsed="false" customWidth="true" hidden="false" outlineLevel="0" max="7" min="7" style="1" width="20"/>
  </cols>
  <sheetData>
    <row r="2" customFormat="false" ht="19.7" hidden="false" customHeight="false" outlineLevel="0" collapsed="false">
      <c r="B2" s="2" t="s">
        <v>10</v>
      </c>
    </row>
    <row r="4" customFormat="false" ht="15" hidden="false" customHeight="false" outlineLevel="0" collapsed="false">
      <c r="A4" s="5"/>
      <c r="B4" s="5" t="s">
        <v>11</v>
      </c>
      <c r="C4" s="5" t="s">
        <v>12</v>
      </c>
      <c r="D4" s="5" t="s">
        <v>13</v>
      </c>
      <c r="E4" s="5" t="s">
        <v>14</v>
      </c>
      <c r="F4" s="5" t="s">
        <v>15</v>
      </c>
      <c r="G4" s="6" t="s">
        <v>16</v>
      </c>
    </row>
    <row r="5" customFormat="false" ht="15" hidden="false" customHeight="false" outlineLevel="0" collapsed="false">
      <c r="B5" s="7" t="s">
        <v>17</v>
      </c>
      <c r="C5" s="8" t="n">
        <v>0</v>
      </c>
      <c r="D5" s="9" t="n">
        <v>0</v>
      </c>
      <c r="E5" s="10" t="str">
        <f aca="false">IFERROR((C5/$C$5-1)*(365/(D5-$D$5)),"-")</f>
        <v>-</v>
      </c>
      <c r="F5" s="10" t="str">
        <f aca="false">IFERROR(C5/$C$5-1,"-")</f>
        <v>-</v>
      </c>
      <c r="G5" s="11" t="str">
        <f aca="false">IF(C5&gt;$C$5,"Contango",IF(C5&lt;$C$5,"Backwardation","Flat"))</f>
        <v>Flat</v>
      </c>
    </row>
    <row r="6" customFormat="false" ht="15" hidden="false" customHeight="false" outlineLevel="0" collapsed="false">
      <c r="B6" s="7" t="s">
        <v>18</v>
      </c>
      <c r="C6" s="8" t="n">
        <v>0</v>
      </c>
      <c r="D6" s="9" t="n">
        <v>0</v>
      </c>
      <c r="E6" s="10" t="str">
        <f aca="false">IFERROR((C6/$C$5-1)*(365/(D6-$D$5)),"-")</f>
        <v>-</v>
      </c>
      <c r="F6" s="10" t="str">
        <f aca="false">IFERROR(C6/$C$5-1,"-")</f>
        <v>-</v>
      </c>
      <c r="G6" s="11" t="str">
        <f aca="false">IF(C6&gt;$C$5,"Contango",IF(C6&lt;$C$5,"Backwardation","Flat"))</f>
        <v>Flat</v>
      </c>
    </row>
    <row r="7" customFormat="false" ht="15" hidden="false" customHeight="false" outlineLevel="0" collapsed="false">
      <c r="B7" s="7" t="s">
        <v>19</v>
      </c>
      <c r="C7" s="8" t="n">
        <v>0</v>
      </c>
      <c r="D7" s="9" t="n">
        <v>0</v>
      </c>
      <c r="E7" s="10" t="str">
        <f aca="false">IFERROR((C7/$C$5-1)*(365/(D7-$D$5)),"-")</f>
        <v>-</v>
      </c>
      <c r="F7" s="10" t="str">
        <f aca="false">IFERROR(C7/$C$5-1,"-")</f>
        <v>-</v>
      </c>
      <c r="G7" s="11" t="str">
        <f aca="false">IF(C7&gt;$C$5,"Contango",IF(C7&lt;$C$5,"Backwardation","Flat"))</f>
        <v>Flat</v>
      </c>
    </row>
    <row r="8" customFormat="false" ht="15" hidden="false" customHeight="false" outlineLevel="0" collapsed="false">
      <c r="B8" s="7" t="s">
        <v>20</v>
      </c>
      <c r="C8" s="8" t="n">
        <v>0</v>
      </c>
      <c r="D8" s="9" t="n">
        <v>0</v>
      </c>
      <c r="E8" s="10" t="str">
        <f aca="false">IFERROR((C8/$C$5-1)*(365/(D8-$D$5)),"-")</f>
        <v>-</v>
      </c>
      <c r="F8" s="10" t="str">
        <f aca="false">IFERROR(C8/$C$5-1,"-")</f>
        <v>-</v>
      </c>
      <c r="G8" s="11" t="str">
        <f aca="false">IF(C8&gt;$C$5,"Contango",IF(C8&lt;$C$5,"Backwardation","Flat"))</f>
        <v>Flat</v>
      </c>
    </row>
    <row r="9" customFormat="false" ht="15" hidden="false" customHeight="false" outlineLevel="0" collapsed="false">
      <c r="B9" s="7" t="s">
        <v>21</v>
      </c>
      <c r="C9" s="8" t="n">
        <v>0</v>
      </c>
      <c r="D9" s="9" t="n">
        <v>0</v>
      </c>
      <c r="E9" s="10" t="str">
        <f aca="false">IFERROR((C9/$C$5-1)*(365/(D9-$D$5)),"-")</f>
        <v>-</v>
      </c>
      <c r="F9" s="10" t="str">
        <f aca="false">IFERROR(C9/$C$5-1,"-")</f>
        <v>-</v>
      </c>
      <c r="G9" s="11" t="str">
        <f aca="false">IF(C9&gt;$C$5,"Contango",IF(C9&lt;$C$5,"Backwardation","Flat"))</f>
        <v>Flat</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16"/>
    <col collapsed="false" customWidth="true" hidden="false" outlineLevel="0" max="3" min="3" style="1" width="14"/>
    <col collapsed="false" customWidth="true" hidden="false" outlineLevel="0" max="4" min="4" style="1" width="12"/>
    <col collapsed="false" customWidth="true" hidden="false" outlineLevel="0" max="5" min="5" style="1" width="16"/>
    <col collapsed="false" customWidth="true" hidden="false" outlineLevel="0" max="8" min="6" style="1" width="18"/>
  </cols>
  <sheetData>
    <row r="2" customFormat="false" ht="19.7" hidden="false" customHeight="false" outlineLevel="0" collapsed="false">
      <c r="B2" s="2" t="s">
        <v>22</v>
      </c>
    </row>
    <row r="3" customFormat="false" ht="15" hidden="false" customHeight="false" outlineLevel="0" collapsed="false">
      <c r="B3" s="12" t="s">
        <v>23</v>
      </c>
    </row>
    <row r="5" customFormat="false" ht="15" hidden="false" customHeight="false" outlineLevel="0" collapsed="false">
      <c r="B5" s="13" t="s">
        <v>24</v>
      </c>
    </row>
    <row r="6" customFormat="false" ht="15" hidden="false" customHeight="false" outlineLevel="0" collapsed="false">
      <c r="B6" s="7" t="s">
        <v>25</v>
      </c>
      <c r="C6" s="14" t="n">
        <v>0</v>
      </c>
    </row>
    <row r="7" customFormat="false" ht="15" hidden="false" customHeight="false" outlineLevel="0" collapsed="false">
      <c r="B7" s="7" t="s">
        <v>26</v>
      </c>
      <c r="C7" s="15" t="n">
        <v>0.05</v>
      </c>
    </row>
    <row r="8" customFormat="false" ht="15" hidden="false" customHeight="false" outlineLevel="0" collapsed="false">
      <c r="B8" s="7" t="s">
        <v>27</v>
      </c>
      <c r="C8" s="15" t="n">
        <v>0.02</v>
      </c>
    </row>
    <row r="10" customFormat="false" ht="15" hidden="false" customHeight="false" outlineLevel="0" collapsed="false">
      <c r="B10" s="5" t="s">
        <v>11</v>
      </c>
      <c r="C10" s="5" t="s">
        <v>13</v>
      </c>
      <c r="D10" s="5" t="s">
        <v>28</v>
      </c>
      <c r="E10" s="5" t="s">
        <v>29</v>
      </c>
      <c r="F10" s="5" t="s">
        <v>30</v>
      </c>
      <c r="G10" s="5" t="s">
        <v>31</v>
      </c>
      <c r="H10" s="5" t="s">
        <v>32</v>
      </c>
    </row>
    <row r="11" customFormat="false" ht="15" hidden="false" customHeight="false" outlineLevel="0" collapsed="false">
      <c r="B11" s="16" t="str">
        <f aca="false">'Futures Curve'!B5</f>
        <v>M1 (front)</v>
      </c>
      <c r="C11" s="17" t="n">
        <f aca="false">'Futures Curve'!D5</f>
        <v>0</v>
      </c>
      <c r="D11" s="18" t="n">
        <f aca="false">C11/365</f>
        <v>0</v>
      </c>
      <c r="E11" s="19" t="n">
        <f aca="false">'Futures Curve'!C5</f>
        <v>0</v>
      </c>
      <c r="F11" s="20" t="n">
        <f aca="false">IFERROR($C$6*EXP(($C$7+$C$8)*D11),"-")</f>
        <v>0</v>
      </c>
      <c r="G11" s="21" t="str">
        <f aca="false">IFERROR(IF(OR(D11=0,$C$6&lt;=0,E11&lt;=0),"-",$C$7+$C$8-LN(E11/$C$6)/D11),"-")</f>
        <v>-</v>
      </c>
      <c r="H11" s="22" t="str">
        <f aca="false">IFERROR(IF(ISNUMBER(G11),$C$6*EXP(($C$7+$C$8-G11)*D11)-E11,"-"),"-")</f>
        <v>-</v>
      </c>
    </row>
    <row r="12" customFormat="false" ht="15" hidden="false" customHeight="false" outlineLevel="0" collapsed="false">
      <c r="B12" s="16" t="str">
        <f aca="false">'Futures Curve'!B6</f>
        <v>M2</v>
      </c>
      <c r="C12" s="17" t="n">
        <f aca="false">'Futures Curve'!D6</f>
        <v>0</v>
      </c>
      <c r="D12" s="18" t="n">
        <f aca="false">C12/365</f>
        <v>0</v>
      </c>
      <c r="E12" s="19" t="n">
        <f aca="false">'Futures Curve'!C6</f>
        <v>0</v>
      </c>
      <c r="F12" s="20" t="n">
        <f aca="false">IFERROR($C$6*EXP(($C$7+$C$8)*D12),"-")</f>
        <v>0</v>
      </c>
      <c r="G12" s="21" t="str">
        <f aca="false">IFERROR(IF(OR(D12=0,$C$6&lt;=0,E12&lt;=0),"-",$C$7+$C$8-LN(E12/$C$6)/D12),"-")</f>
        <v>-</v>
      </c>
      <c r="H12" s="22" t="str">
        <f aca="false">IFERROR(IF(ISNUMBER(G12),$C$6*EXP(($C$7+$C$8-G12)*D12)-E12,"-"),"-")</f>
        <v>-</v>
      </c>
    </row>
    <row r="13" customFormat="false" ht="15" hidden="false" customHeight="false" outlineLevel="0" collapsed="false">
      <c r="B13" s="16" t="str">
        <f aca="false">'Futures Curve'!B7</f>
        <v>M3</v>
      </c>
      <c r="C13" s="17" t="n">
        <f aca="false">'Futures Curve'!D7</f>
        <v>0</v>
      </c>
      <c r="D13" s="18" t="n">
        <f aca="false">C13/365</f>
        <v>0</v>
      </c>
      <c r="E13" s="19" t="n">
        <f aca="false">'Futures Curve'!C7</f>
        <v>0</v>
      </c>
      <c r="F13" s="20" t="n">
        <f aca="false">IFERROR($C$6*EXP(($C$7+$C$8)*D13),"-")</f>
        <v>0</v>
      </c>
      <c r="G13" s="21" t="str">
        <f aca="false">IFERROR(IF(OR(D13=0,$C$6&lt;=0,E13&lt;=0),"-",$C$7+$C$8-LN(E13/$C$6)/D13),"-")</f>
        <v>-</v>
      </c>
      <c r="H13" s="22" t="str">
        <f aca="false">IFERROR(IF(ISNUMBER(G13),$C$6*EXP(($C$7+$C$8-G13)*D13)-E13,"-"),"-")</f>
        <v>-</v>
      </c>
    </row>
    <row r="14" customFormat="false" ht="15" hidden="false" customHeight="false" outlineLevel="0" collapsed="false">
      <c r="B14" s="16" t="str">
        <f aca="false">'Futures Curve'!B8</f>
        <v>M6</v>
      </c>
      <c r="C14" s="17" t="n">
        <f aca="false">'Futures Curve'!D8</f>
        <v>0</v>
      </c>
      <c r="D14" s="18" t="n">
        <f aca="false">C14/365</f>
        <v>0</v>
      </c>
      <c r="E14" s="19" t="n">
        <f aca="false">'Futures Curve'!C8</f>
        <v>0</v>
      </c>
      <c r="F14" s="20" t="n">
        <f aca="false">IFERROR($C$6*EXP(($C$7+$C$8)*D14),"-")</f>
        <v>0</v>
      </c>
      <c r="G14" s="21" t="str">
        <f aca="false">IFERROR(IF(OR(D14=0,$C$6&lt;=0,E14&lt;=0),"-",$C$7+$C$8-LN(E14/$C$6)/D14),"-")</f>
        <v>-</v>
      </c>
      <c r="H14" s="22" t="str">
        <f aca="false">IFERROR(IF(ISNUMBER(G14),$C$6*EXP(($C$7+$C$8-G14)*D14)-E14,"-"),"-")</f>
        <v>-</v>
      </c>
    </row>
    <row r="15" customFormat="false" ht="15" hidden="false" customHeight="false" outlineLevel="0" collapsed="false">
      <c r="B15" s="16" t="str">
        <f aca="false">'Futures Curve'!B9</f>
        <v>M12</v>
      </c>
      <c r="C15" s="17" t="n">
        <f aca="false">'Futures Curve'!D9</f>
        <v>0</v>
      </c>
      <c r="D15" s="18" t="n">
        <f aca="false">C15/365</f>
        <v>0</v>
      </c>
      <c r="E15" s="19" t="n">
        <f aca="false">'Futures Curve'!C9</f>
        <v>0</v>
      </c>
      <c r="F15" s="20" t="n">
        <f aca="false">IFERROR($C$6*EXP(($C$7+$C$8)*D15),"-")</f>
        <v>0</v>
      </c>
      <c r="G15" s="21" t="str">
        <f aca="false">IFERROR(IF(OR(D15=0,$C$6&lt;=0,E15&lt;=0),"-",$C$7+$C$8-LN(E15/$C$6)/D15),"-")</f>
        <v>-</v>
      </c>
      <c r="H15" s="22" t="str">
        <f aca="false">IFERROR(IF(ISNUMBER(G15),$C$6*EXP(($C$7+$C$8-G15)*D15)-E15,"-"),"-")</f>
        <v>-</v>
      </c>
    </row>
    <row r="17" customFormat="false" ht="15" hidden="false" customHeight="false" outlineLevel="0" collapsed="false">
      <c r="B17" s="12" t="s">
        <v>33</v>
      </c>
    </row>
    <row r="18" customFormat="false" ht="15" hidden="false" customHeight="false" outlineLevel="0" collapsed="false">
      <c r="B18" s="12"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16"/>
    <col collapsed="false" customWidth="true" hidden="false" outlineLevel="0" max="5" min="5" style="1" width="40"/>
  </cols>
  <sheetData>
    <row r="2" customFormat="false" ht="19.7" hidden="false" customHeight="false" outlineLevel="0" collapsed="false">
      <c r="B2" s="2" t="s">
        <v>35</v>
      </c>
    </row>
    <row r="4" customFormat="false" ht="15" hidden="false" customHeight="false" outlineLevel="0" collapsed="false">
      <c r="B4" s="1" t="s">
        <v>36</v>
      </c>
      <c r="C4" s="23" t="n">
        <f aca="false">'Futures Curve'!C5</f>
        <v>0</v>
      </c>
    </row>
    <row r="5" customFormat="false" ht="15" hidden="false" customHeight="false" outlineLevel="0" collapsed="false">
      <c r="B5" s="1" t="s">
        <v>37</v>
      </c>
      <c r="C5" s="23" t="n">
        <f aca="false">'Futures Curve'!C6</f>
        <v>0</v>
      </c>
    </row>
    <row r="6" customFormat="false" ht="15" hidden="false" customHeight="false" outlineLevel="0" collapsed="false">
      <c r="B6" s="1" t="s">
        <v>38</v>
      </c>
      <c r="C6" s="24" t="str">
        <f aca="false">IFERROR(C4/C5-1,"-")</f>
        <v>-</v>
      </c>
      <c r="D6" s="12" t="s">
        <v>39</v>
      </c>
    </row>
    <row r="8" customFormat="false" ht="15" hidden="false" customHeight="false" outlineLevel="0" collapsed="false">
      <c r="B8" s="1" t="s">
        <v>40</v>
      </c>
      <c r="C8" s="25" t="str">
        <f aca="false">IFERROR(C6*12,"-")</f>
        <v>-</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4" min="3" style="1" width="16"/>
    <col collapsed="false" customWidth="true" hidden="false" outlineLevel="0" max="5" min="5" style="1" width="40"/>
  </cols>
  <sheetData>
    <row r="2" customFormat="false" ht="19.7" hidden="false" customHeight="false" outlineLevel="0" collapsed="false">
      <c r="B2" s="2" t="s">
        <v>41</v>
      </c>
    </row>
    <row r="4" customFormat="false" ht="15" hidden="false" customHeight="false" outlineLevel="0" collapsed="false">
      <c r="B4" s="13" t="s">
        <v>24</v>
      </c>
    </row>
    <row r="5" customFormat="false" ht="15" hidden="false" customHeight="false" outlineLevel="0" collapsed="false">
      <c r="B5" s="7" t="s">
        <v>42</v>
      </c>
      <c r="C5" s="26" t="n">
        <v>0</v>
      </c>
    </row>
    <row r="6" customFormat="false" ht="15" hidden="false" customHeight="false" outlineLevel="0" collapsed="false">
      <c r="B6" s="7" t="s">
        <v>43</v>
      </c>
      <c r="C6" s="26" t="n">
        <v>1000</v>
      </c>
    </row>
    <row r="7" customFormat="false" ht="15" hidden="false" customHeight="false" outlineLevel="0" collapsed="false">
      <c r="B7" s="7" t="s">
        <v>25</v>
      </c>
      <c r="C7" s="14" t="n">
        <v>0</v>
      </c>
    </row>
    <row r="8" customFormat="false" ht="15" hidden="false" customHeight="false" outlineLevel="0" collapsed="false">
      <c r="B8" s="7" t="s">
        <v>44</v>
      </c>
      <c r="C8" s="14" t="n">
        <v>0</v>
      </c>
    </row>
    <row r="9" customFormat="false" ht="15" hidden="false" customHeight="false" outlineLevel="0" collapsed="false">
      <c r="B9" s="7" t="s">
        <v>45</v>
      </c>
      <c r="C9" s="27" t="n">
        <v>1</v>
      </c>
    </row>
    <row r="11" customFormat="false" ht="15" hidden="false" customHeight="false" outlineLevel="0" collapsed="false">
      <c r="B11" s="13" t="s">
        <v>46</v>
      </c>
    </row>
    <row r="12" customFormat="false" ht="15" hidden="false" customHeight="false" outlineLevel="0" collapsed="false">
      <c r="B12" s="1" t="s">
        <v>47</v>
      </c>
      <c r="C12" s="28" t="n">
        <f aca="false">IFERROR(ROUND(C5*C9/C6,0),"-")</f>
        <v>0</v>
      </c>
    </row>
    <row r="13" customFormat="false" ht="15" hidden="false" customHeight="false" outlineLevel="0" collapsed="false">
      <c r="B13" s="1" t="s">
        <v>48</v>
      </c>
      <c r="C13" s="29" t="n">
        <f aca="false">C12*C6*C8</f>
        <v>0</v>
      </c>
    </row>
    <row r="14" customFormat="false" ht="15" hidden="false" customHeight="false" outlineLevel="0" collapsed="false">
      <c r="B14" s="1" t="s">
        <v>49</v>
      </c>
      <c r="C14" s="29" t="n">
        <f aca="false">C5*C7-C13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20"/>
    <col collapsed="false" customWidth="true" hidden="false" outlineLevel="0" max="7" min="3" style="1" width="12"/>
  </cols>
  <sheetData>
    <row r="2" customFormat="false" ht="19.7" hidden="false" customHeight="false" outlineLevel="0" collapsed="false">
      <c r="B2" s="2" t="s">
        <v>50</v>
      </c>
    </row>
    <row r="4" customFormat="false" ht="15" hidden="false" customHeight="false" outlineLevel="0" collapsed="false">
      <c r="B4" s="13" t="s">
        <v>51</v>
      </c>
      <c r="C4" s="30" t="n">
        <v>-0.2</v>
      </c>
      <c r="D4" s="30" t="n">
        <v>-0.1</v>
      </c>
      <c r="E4" s="30" t="n">
        <v>0</v>
      </c>
      <c r="F4" s="30" t="n">
        <v>0.1</v>
      </c>
      <c r="G4" s="30" t="n">
        <v>0.2</v>
      </c>
    </row>
    <row r="5" customFormat="false" ht="15" hidden="false" customHeight="false" outlineLevel="0" collapsed="false">
      <c r="B5" s="1" t="s">
        <v>52</v>
      </c>
      <c r="C5" s="29" t="n">
        <f aca="false">Hedging!$C$5*Hedging!$C$7*C4</f>
        <v>-0</v>
      </c>
      <c r="D5" s="29" t="n">
        <f aca="false">Hedging!$C$5*Hedging!$C$7*D4</f>
        <v>-0</v>
      </c>
      <c r="E5" s="29" t="n">
        <f aca="false">Hedging!$C$5*Hedging!$C$7*E4</f>
        <v>0</v>
      </c>
      <c r="F5" s="29" t="n">
        <f aca="false">Hedging!$C$5*Hedging!$C$7*F4</f>
        <v>0</v>
      </c>
      <c r="G5" s="29" t="n">
        <f aca="false">Hedging!$C$5*Hedging!$C$7*G4</f>
        <v>0</v>
      </c>
    </row>
    <row r="6" customFormat="false" ht="15" hidden="false" customHeight="false" outlineLevel="0" collapsed="false">
      <c r="B6" s="1" t="s">
        <v>53</v>
      </c>
      <c r="C6" s="29" t="n">
        <f aca="false">(C4*Hedging!$C$5*Hedging!$C$7)-(C4*Hedging!$C$13)</f>
        <v>0</v>
      </c>
      <c r="D6" s="29" t="n">
        <f aca="false">(D4*Hedging!$C$5*Hedging!$C$7)-(D4*Hedging!$C$13)</f>
        <v>0</v>
      </c>
      <c r="E6" s="29" t="n">
        <f aca="false">(E4*Hedging!$C$5*Hedging!$C$7)-(E4*Hedging!$C$13)</f>
        <v>0</v>
      </c>
      <c r="F6" s="29" t="n">
        <f aca="false">(F4*Hedging!$C$5*Hedging!$C$7)-(F4*Hedging!$C$13)</f>
        <v>0</v>
      </c>
      <c r="G6" s="29" t="n">
        <f aca="false">(G4*Hedging!$C$5*Hedging!$C$7)-(G4*Hedging!$C$13)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34"/>
    <col collapsed="false" customWidth="true" hidden="false" outlineLevel="0" max="3" min="3" style="1" width="30"/>
    <col collapsed="false" customWidth="true" hidden="false" outlineLevel="0" max="4" min="4" style="1" width="14"/>
    <col collapsed="false" customWidth="true" hidden="false" outlineLevel="0" max="5" min="5" style="1" width="46"/>
  </cols>
  <sheetData>
    <row r="2" customFormat="false" ht="19.7" hidden="false" customHeight="false" outlineLevel="0" collapsed="false">
      <c r="B2" s="2" t="s">
        <v>54</v>
      </c>
    </row>
    <row r="3" customFormat="false" ht="15" hidden="false" customHeight="false" outlineLevel="0" collapsed="false">
      <c r="B3" s="12" t="s">
        <v>55</v>
      </c>
    </row>
    <row r="5" customFormat="false" ht="15" hidden="false" customHeight="false" outlineLevel="0" collapsed="false">
      <c r="B5" s="5" t="s">
        <v>56</v>
      </c>
      <c r="C5" s="5" t="s">
        <v>57</v>
      </c>
      <c r="D5" s="5" t="s">
        <v>58</v>
      </c>
      <c r="E5" s="5" t="s">
        <v>59</v>
      </c>
    </row>
    <row r="6" customFormat="false" ht="15" hidden="false" customHeight="false" outlineLevel="0" collapsed="false">
      <c r="B6" s="31" t="s">
        <v>60</v>
      </c>
      <c r="C6" s="31" t="s">
        <v>61</v>
      </c>
      <c r="D6" s="31" t="s">
        <v>62</v>
      </c>
      <c r="E6" s="32" t="s">
        <v>63</v>
      </c>
    </row>
    <row r="7" customFormat="false" ht="15" hidden="false" customHeight="false" outlineLevel="0" collapsed="false">
      <c r="B7" s="31" t="s">
        <v>64</v>
      </c>
      <c r="C7" s="31" t="s">
        <v>65</v>
      </c>
      <c r="D7" s="31" t="s">
        <v>66</v>
      </c>
      <c r="E7" s="32" t="s">
        <v>67</v>
      </c>
    </row>
    <row r="8" customFormat="false" ht="15" hidden="false" customHeight="false" outlineLevel="0" collapsed="false">
      <c r="B8" s="31" t="s">
        <v>68</v>
      </c>
      <c r="C8" s="31" t="s">
        <v>69</v>
      </c>
      <c r="D8" s="31" t="s">
        <v>62</v>
      </c>
      <c r="E8" s="32" t="s">
        <v>70</v>
      </c>
    </row>
    <row r="9" customFormat="false" ht="15" hidden="false" customHeight="false" outlineLevel="0" collapsed="false">
      <c r="B9" s="31" t="s">
        <v>71</v>
      </c>
      <c r="C9" s="31" t="s">
        <v>72</v>
      </c>
      <c r="D9" s="31" t="s">
        <v>62</v>
      </c>
      <c r="E9" s="32"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40"/>
    <col collapsed="false" customWidth="true" hidden="false" outlineLevel="0" max="3" min="3" style="1" width="18"/>
    <col collapsed="false" customWidth="true" hidden="false" outlineLevel="0" max="4" min="4" style="1" width="46"/>
  </cols>
  <sheetData>
    <row r="2" customFormat="false" ht="19.7" hidden="false" customHeight="false" outlineLevel="0" collapsed="false">
      <c r="B2" s="2" t="s">
        <v>74</v>
      </c>
    </row>
    <row r="3" customFormat="false" ht="15" hidden="false" customHeight="false" outlineLevel="0" collapsed="false">
      <c r="B3" s="12" t="s">
        <v>75</v>
      </c>
    </row>
    <row r="5" customFormat="false" ht="15" hidden="false" customHeight="false" outlineLevel="0" collapsed="false">
      <c r="B5" s="5" t="s">
        <v>76</v>
      </c>
      <c r="C5" s="5" t="s">
        <v>77</v>
      </c>
      <c r="D5" s="5" t="s">
        <v>78</v>
      </c>
    </row>
    <row r="6" customFormat="false" ht="15" hidden="false" customHeight="false" outlineLevel="0" collapsed="false">
      <c r="B6" s="31" t="s">
        <v>79</v>
      </c>
      <c r="C6" s="33" t="n">
        <f aca="false">IFERROR(SUMPRODUCT(ABS(IF(ISNUMBER('Cost of Carry'!H11:H15),'Cost of Carry'!H11:H15,0))),"-")</f>
        <v>0</v>
      </c>
      <c r="D6" s="32" t="s">
        <v>80</v>
      </c>
    </row>
    <row r="7" customFormat="false" ht="15" hidden="false" customHeight="false" outlineLevel="0" collapsed="false">
      <c r="B7" s="31" t="s">
        <v>81</v>
      </c>
      <c r="C7" s="34" t="n">
        <f aca="false">Sensitivity!E5</f>
        <v>0</v>
      </c>
      <c r="D7" s="32" t="s">
        <v>82</v>
      </c>
    </row>
    <row r="8" customFormat="false" ht="15" hidden="false" customHeight="false" outlineLevel="0" collapsed="false">
      <c r="B8" s="31" t="s">
        <v>83</v>
      </c>
      <c r="C8" s="34" t="n">
        <f aca="false">Sensitivity!E6</f>
        <v>0</v>
      </c>
      <c r="D8" s="32" t="s">
        <v>82</v>
      </c>
    </row>
    <row r="9" customFormat="false" ht="15" hidden="false" customHeight="false" outlineLevel="0" collapsed="false">
      <c r="B9" s="31" t="s">
        <v>84</v>
      </c>
      <c r="C9" s="33" t="b">
        <f aca="false">IF('Futures Curve'!E9&gt;0,'Futures Curve'!G9="Contango",IF('Futures Curve'!E9&lt;0,'Futures Curve'!G9="Backwardation",TRUE()))</f>
        <v>0</v>
      </c>
      <c r="D9" s="32"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14"/>
    <col collapsed="false" customWidth="true" hidden="false" outlineLevel="0" max="3" min="3" style="1" width="16"/>
    <col collapsed="false" customWidth="true" hidden="false" outlineLevel="0" max="5" min="4" style="1" width="30"/>
    <col collapsed="false" customWidth="true" hidden="false" outlineLevel="0" max="6" min="6" style="1" width="16"/>
  </cols>
  <sheetData>
    <row r="2" customFormat="false" ht="19.7" hidden="false" customHeight="false" outlineLevel="0" collapsed="false">
      <c r="B2" s="2" t="s">
        <v>86</v>
      </c>
    </row>
    <row r="4" customFormat="false" ht="15" hidden="false" customHeight="false" outlineLevel="0" collapsed="false">
      <c r="B4" s="5" t="s">
        <v>87</v>
      </c>
      <c r="C4" s="5" t="s">
        <v>88</v>
      </c>
      <c r="D4" s="5" t="s">
        <v>89</v>
      </c>
      <c r="E4" s="5" t="s">
        <v>90</v>
      </c>
      <c r="F4" s="5" t="s">
        <v>91</v>
      </c>
    </row>
    <row r="5" customFormat="false" ht="15" hidden="false" customHeight="false" outlineLevel="0" collapsed="false">
      <c r="B5" s="11"/>
      <c r="C5" s="11"/>
      <c r="D5" s="11"/>
      <c r="E5" s="11"/>
      <c r="F5" s="11"/>
    </row>
    <row r="6" customFormat="false" ht="15" hidden="false" customHeight="false" outlineLevel="0" collapsed="false">
      <c r="B6" s="11"/>
      <c r="C6" s="11"/>
      <c r="D6" s="11"/>
      <c r="E6" s="11"/>
      <c r="F6" s="11"/>
    </row>
    <row r="7" customFormat="false" ht="15" hidden="false" customHeight="false" outlineLevel="0" collapsed="false">
      <c r="B7" s="11"/>
      <c r="C7" s="11"/>
      <c r="D7" s="11"/>
      <c r="E7" s="11"/>
      <c r="F7" s="11"/>
    </row>
    <row r="8" customFormat="false" ht="15" hidden="false" customHeight="false" outlineLevel="0" collapsed="false">
      <c r="B8" s="11"/>
      <c r="C8" s="11"/>
      <c r="D8" s="11"/>
      <c r="E8" s="11"/>
      <c r="F8" s="11"/>
    </row>
    <row r="9" customFormat="false" ht="15" hidden="false" customHeight="false" outlineLevel="0" collapsed="false">
      <c r="B9" s="11"/>
      <c r="C9" s="11"/>
      <c r="D9" s="11"/>
      <c r="E9" s="11"/>
      <c r="F9" s="11"/>
    </row>
    <row r="10" customFormat="false" ht="15" hidden="false" customHeight="false" outlineLevel="0" collapsed="false">
      <c r="B10" s="11"/>
      <c r="C10" s="11"/>
      <c r="D10" s="11"/>
      <c r="E10" s="11"/>
      <c r="F10" s="11"/>
    </row>
    <row r="11" customFormat="false" ht="15" hidden="false" customHeight="false" outlineLevel="0" collapsed="false">
      <c r="B11" s="11"/>
      <c r="C11" s="11"/>
      <c r="D11" s="11"/>
      <c r="E11" s="11"/>
      <c r="F11" s="11"/>
    </row>
    <row r="12" customFormat="false" ht="15" hidden="false" customHeight="false" outlineLevel="0" collapsed="false">
      <c r="B12" s="11"/>
      <c r="C12" s="11"/>
      <c r="D12" s="11"/>
      <c r="E12" s="11"/>
      <c r="F12" s="11"/>
    </row>
    <row r="13" customFormat="false" ht="15" hidden="false" customHeight="false" outlineLevel="0" collapsed="false">
      <c r="B13" s="11"/>
      <c r="C13" s="11"/>
      <c r="D13" s="11"/>
      <c r="E13" s="11"/>
      <c r="F13" s="11"/>
    </row>
    <row r="14" customFormat="false" ht="15" hidden="false" customHeight="false" outlineLevel="0" collapsed="false">
      <c r="B14" s="11"/>
      <c r="C14" s="11"/>
      <c r="D14" s="11"/>
      <c r="E14" s="11"/>
      <c r="F14"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2026-08-04T13:56:59Z</dcterms:created>
  <dc:creator>openpyxl</dc:creator>
  <dc:description/>
  <dc:language>en-US</dc:language>
  <cp:lastModifiedBy/>
  <dcterms:modified xsi:type="dcterms:W3CDTF">2026-08-04T13:56:59Z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