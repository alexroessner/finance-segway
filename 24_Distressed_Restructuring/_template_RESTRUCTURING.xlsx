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Recovery Waterfall" sheetId="2" state="visible" r:id="rId4"/>
    <sheet name="EV Sensitivity" sheetId="3" state="visible" r:id="rId5"/>
    <sheet name="Liquidation vs Reorg" sheetId="4" state="visible" r:id="rId6"/>
    <sheet name="Sources" sheetId="5" state="visible" r:id="rId7"/>
    <sheet name="Checks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<sst xmlns="http://schemas.openxmlformats.org/spreadsheetml/2006/main" count="86" uniqueCount="85">
  <si>
    <t xml:space="preserve">[COMPANY] — Distressed / Restructuring Model</t>
  </si>
  <si>
    <t xml:space="preserve">Situation type:</t>
  </si>
  <si>
    <t xml:space="preserve">Chapter 11 / Out-of-court / Chapter 7</t>
  </si>
  <si>
    <t xml:space="preserve">Petition/filing date:</t>
  </si>
  <si>
    <t xml:space="preserve">[date]</t>
  </si>
  <si>
    <t xml:space="preserve">Last refreshed:</t>
  </si>
  <si>
    <t xml:space="preserve">Refresh cadence:</t>
  </si>
  <si>
    <t xml:space="preserve">Weekly (daily near key dates)</t>
  </si>
  <si>
    <t xml:space="preserve">Capital Structure &amp; Recovery Waterfall</t>
  </si>
  <si>
    <t xml:space="preserve">Tranche</t>
  </si>
  <si>
    <t xml:space="preserve">Face claim ($)</t>
  </si>
  <si>
    <t xml:space="preserve">Seniority rank</t>
  </si>
  <si>
    <t xml:space="preserve">Recovery ($)</t>
  </si>
  <si>
    <t xml:space="preserve">Recovery %</t>
  </si>
  <si>
    <t xml:space="preserve">Fulcrum?</t>
  </si>
  <si>
    <t xml:space="preserve">DIP / super-priority</t>
  </si>
  <si>
    <t xml:space="preserve">First lien secured</t>
  </si>
  <si>
    <t xml:space="preserve">Second lien secured</t>
  </si>
  <si>
    <t xml:space="preserve">Senior unsecured notes</t>
  </si>
  <si>
    <t xml:space="preserve">Subordinated debt</t>
  </si>
  <si>
    <t xml:space="preserve">Equity</t>
  </si>
  <si>
    <t xml:space="preserve">Total enterprise value available for distribution ($)</t>
  </si>
  <si>
    <t xml:space="preserve">Waterfall (senior to junior, absolute priority)</t>
  </si>
  <si>
    <t xml:space="preserve">Fulcrum security = the tranche where recovery % first drops below 100% — that class controls the reorg (converts to new equity)</t>
  </si>
  <si>
    <t xml:space="preserve">Fulcrum security</t>
  </si>
  <si>
    <t xml:space="preserve">Enterprise Value Sensitivity: Where the Fulcrum Moves</t>
  </si>
  <si>
    <t xml:space="preserve">The fulcrum security isn't fixed -- it's a function of enterprise value, and EV is exactly what every party in a Chapter 11 fights over. As EV falls, the fulcrum moves UP the capital structure (more senior classes get impaired); as EV rises, it moves DOWN. This is why EV disputes are the actual battleground, not a side issue -- whoever's class becomes the fulcrum controls the plan.</t>
  </si>
  <si>
    <t xml:space="preserve">EV scenario (% of base case)</t>
  </si>
  <si>
    <t xml:space="preserve">Enterprise value ($)</t>
  </si>
  <si>
    <t xml:space="preserve">Recovery % by tranche</t>
  </si>
  <si>
    <t xml:space="preserve">Fulcrum tranche at this EV</t>
  </si>
  <si>
    <t xml:space="preserve">Read left to right: the fulcrum climbs toward DIP/first-lien as EV falls, and drops toward equity as EV rises -- the same capital structure, a completely different plan of reorganization.</t>
  </si>
  <si>
    <t xml:space="preserve">Liquidation (Ch. 7) vs. Reorganization (Ch. 11) NPV</t>
  </si>
  <si>
    <t xml:space="preserve">Liquidation</t>
  </si>
  <si>
    <t xml:space="preserve">Reorg</t>
  </si>
  <si>
    <t xml:space="preserve">Notes</t>
  </si>
  <si>
    <t xml:space="preserve">Gross asset value / going-concern EV</t>
  </si>
  <si>
    <t xml:space="preserve">Less: liquidation discount / distress costs</t>
  </si>
  <si>
    <t xml:space="preserve">Less: administrative/professional fees</t>
  </si>
  <si>
    <t xml:space="preserve">Time to distribution (months)</t>
  </si>
  <si>
    <t xml:space="preserve">Discount rate (annual, for NPV of delayed recovery)</t>
  </si>
  <si>
    <t xml:space="preserve">Net proceeds</t>
  </si>
  <si>
    <t xml:space="preserve">NPV of proceeds (discounted for time to distribution)</t>
  </si>
  <si>
    <t xml:space="preserve">Compare NPVs — higher wins for creditors as a class, though individual tranche outcomes differ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</si>
  <si>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</si>
  <si>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</si>
  <si>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</si>
  <si>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</si>
  <si>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</si>
  <si>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</si>
  <si>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Absolute priority waterfall (senior tranches paid in full before any junior recovery)</t>
  </si>
  <si>
    <t xml:space="preserve">U.S. Bankruptcy Code absolute priority rule (11 U.S.C. Section 1129(b))</t>
  </si>
  <si>
    <t xml:space="preserve">Statutory</t>
  </si>
  <si>
    <t xml:space="preserve">Assumes strict absolute priority -- real plans sometimes deviate via negotiated settlements (e.g. gifting to equity) that this model does not represent</t>
  </si>
  <si>
    <t xml:space="preserve">Fulcrum security = first tranche whose recovery drops below 100%</t>
  </si>
  <si>
    <t xml:space="preserve">Standard distressed-investing / restructuring practitioner definition</t>
  </si>
  <si>
    <t xml:space="preserve">Standard practice</t>
  </si>
  <si>
    <t xml:space="preserve">Identifies the fulcrum GIVEN a single point-estimate EV -- see the EV Sensitivity tab for how it moves across a range</t>
  </si>
  <si>
    <t xml:space="preserve">EV sensitivity across a -40% to +40% scenario range</t>
  </si>
  <si>
    <t xml:space="preserve">Reflects the reality that enterprise value in a Chapter 11 is contested, not a known fact</t>
  </si>
  <si>
    <t xml:space="preserve">Modeling choice, not a specific case's actual EV range</t>
  </si>
  <si>
    <t xml:space="preserve">Symmetric percentage range for illustration -- a real case's plausible EV range depends on valuation methodology disputes (DCF vs. comps vs. precedent transactions)</t>
  </si>
  <si>
    <t xml:space="preserve">Liquidation vs. reorg NPV comparison</t>
  </si>
  <si>
    <t xml:space="preserve">Standard best-interests-of-creditors test framing (11 U.S.C. Section 1129(a)(7))</t>
  </si>
  <si>
    <t xml:space="preserve">Statutory framing, illustrative implementation</t>
  </si>
  <si>
    <t xml:space="preserve">A real best-interests test is class-by-class, not just an aggregate NPV comparison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</si>
  <si>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</si>
  <si>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</si>
  <si>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</si>
  <si>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</si>
  <si>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</si>
  <si>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Fulcrum tranche at the base case (0% EV scenario) matches the single-scenario Recovery Waterfall tab</t>
  </si>
  <si>
    <t xml:space="preserve">TRUE -- the sensitivity table's base-case column must reproduce the standalone waterfall's own answer</t>
  </si>
  <si>
    <t xml:space="preserve">Number of fully-recovered tranches is non-decreasing as EV rises from -40% to +40%</t>
  </si>
  <si>
    <t xml:space="preserve">TRUE -- more enterprise value can only help junior tranches recover, never hurt senior ones</t>
  </si>
  <si>
    <t xml:space="preserve">Recovery % never exceeds 100% for any tranche at any EV scenario</t>
  </si>
  <si>
    <t xml:space="preserve">TRUE -- absolute priority caps every tranche's recovery at its own face claim</t>
  </si>
  <si>
    <t xml:space="preserve">NPV comparison picks the higher of liquidation vs. reorg</t>
  </si>
  <si>
    <t xml:space="preserve">TRUE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</si>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</sst>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4"/>
    <col collapsed="false" customWidth="true" hidden="false" outlineLevel="0" max="7" min="7" style="1" width="16"/>
  </cols>
  <sheetData>
    <row r="2" customFormat="false" ht="19.7" hidden="false" customHeight="false" outlineLevel="0" collapsed="false">
      <c r="B2" s="2" t="s">
        <v>8</v>
      </c>
    </row>
    <row r="4" customFormat="false" ht="15" hidden="false" customHeight="false" outlineLevel="0" collapsed="false">
      <c r="A4" s="5"/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6" t="s">
        <v>14</v>
      </c>
    </row>
    <row r="5" customFormat="false" ht="15" hidden="false" customHeight="false" outlineLevel="0" collapsed="false">
      <c r="B5" s="7" t="s">
        <v>15</v>
      </c>
      <c r="C5" s="8" t="n">
        <v>0</v>
      </c>
      <c r="D5" s="4" t="n">
        <v>1</v>
      </c>
      <c r="E5" s="9" t="n">
        <f aca="false">MIN(C12,C5)</f>
        <v>0</v>
      </c>
      <c r="F5" s="10" t="str">
        <f aca="false">IFERROR(E5/C5,"-")</f>
        <v>-</v>
      </c>
      <c r="G5" s="11" t="str">
        <f aca="false">IF(AND(ISNUMBER(F5),F5&lt;1),"FULCRUM","")</f>
        <v/>
      </c>
    </row>
    <row r="6" customFormat="false" ht="15" hidden="false" customHeight="false" outlineLevel="0" collapsed="false">
      <c r="B6" s="7" t="s">
        <v>16</v>
      </c>
      <c r="C6" s="8" t="n">
        <v>0</v>
      </c>
      <c r="D6" s="4" t="n">
        <v>2</v>
      </c>
      <c r="E6" s="9" t="n">
        <f aca="false">MIN(MAX(C12-SUM(E5:E5),0),C6)</f>
        <v>0</v>
      </c>
      <c r="F6" s="10" t="str">
        <f aca="false">IFERROR(E6/C6,"-")</f>
        <v>-</v>
      </c>
      <c r="G6" s="11" t="str">
        <f aca="false">IF(AND(ISNUMBER(F6),F6&lt;1,ISNUMBER(F5),F5&gt;=1),"FULCRUM","")</f>
        <v/>
      </c>
    </row>
    <row r="7" customFormat="false" ht="15" hidden="false" customHeight="false" outlineLevel="0" collapsed="false">
      <c r="B7" s="7" t="s">
        <v>17</v>
      </c>
      <c r="C7" s="8" t="n">
        <v>0</v>
      </c>
      <c r="D7" s="4" t="n">
        <v>3</v>
      </c>
      <c r="E7" s="9" t="n">
        <f aca="false">MIN(MAX(C12-SUM(E5:E6),0),C7)</f>
        <v>0</v>
      </c>
      <c r="F7" s="10" t="str">
        <f aca="false">IFERROR(E7/C7,"-")</f>
        <v>-</v>
      </c>
      <c r="G7" s="11" t="str">
        <f aca="false">IF(AND(ISNUMBER(F7),F7&lt;1,ISNUMBER(F6),F6&gt;=1),"FULCRUM","")</f>
        <v/>
      </c>
    </row>
    <row r="8" customFormat="false" ht="15" hidden="false" customHeight="false" outlineLevel="0" collapsed="false">
      <c r="B8" s="7" t="s">
        <v>18</v>
      </c>
      <c r="C8" s="8" t="n">
        <v>0</v>
      </c>
      <c r="D8" s="4" t="n">
        <v>4</v>
      </c>
      <c r="E8" s="9" t="n">
        <f aca="false">MIN(MAX(C12-SUM(E5:E7),0),C8)</f>
        <v>0</v>
      </c>
      <c r="F8" s="10" t="str">
        <f aca="false">IFERROR(E8/C8,"-")</f>
        <v>-</v>
      </c>
      <c r="G8" s="11" t="str">
        <f aca="false">IF(AND(ISNUMBER(F8),F8&lt;1,ISNUMBER(F7),F7&gt;=1),"FULCRUM","")</f>
        <v/>
      </c>
    </row>
    <row r="9" customFormat="false" ht="15" hidden="false" customHeight="false" outlineLevel="0" collapsed="false">
      <c r="B9" s="7" t="s">
        <v>19</v>
      </c>
      <c r="C9" s="8" t="n">
        <v>0</v>
      </c>
      <c r="D9" s="4" t="n">
        <v>5</v>
      </c>
      <c r="E9" s="9" t="n">
        <f aca="false">MIN(MAX(C12-SUM(E5:E8),0),C9)</f>
        <v>0</v>
      </c>
      <c r="F9" s="10" t="str">
        <f aca="false">IFERROR(E9/C9,"-")</f>
        <v>-</v>
      </c>
      <c r="G9" s="11" t="str">
        <f aca="false">IF(AND(ISNUMBER(F9),F9&lt;1,ISNUMBER(F8),F8&gt;=1),"FULCRUM","")</f>
        <v/>
      </c>
    </row>
    <row r="10" customFormat="false" ht="15" hidden="false" customHeight="false" outlineLevel="0" collapsed="false">
      <c r="B10" s="7" t="s">
        <v>20</v>
      </c>
      <c r="C10" s="8" t="n">
        <v>0</v>
      </c>
      <c r="D10" s="4" t="n">
        <v>6</v>
      </c>
      <c r="E10" s="9" t="n">
        <f aca="false">MIN(MAX(C12-SUM(E5:E9),0),C10)</f>
        <v>0</v>
      </c>
      <c r="F10" s="10" t="str">
        <f aca="false">IFERROR(E10/C10,"-")</f>
        <v>-</v>
      </c>
      <c r="G10" s="11" t="str">
        <f aca="false">IF(AND(ISNUMBER(F10),F10&lt;1,ISNUMBER(F9),F9&gt;=1),"FULCRUM","")</f>
        <v/>
      </c>
    </row>
    <row r="12" customFormat="false" ht="15" hidden="false" customHeight="false" outlineLevel="0" collapsed="false">
      <c r="B12" s="1" t="s">
        <v>21</v>
      </c>
      <c r="C12" s="12" t="n">
        <v>0</v>
      </c>
    </row>
    <row r="14" customFormat="false" ht="15" hidden="false" customHeight="false" outlineLevel="0" collapsed="false">
      <c r="B14" s="13" t="s">
        <v>22</v>
      </c>
    </row>
    <row r="20" customFormat="false" ht="15" hidden="false" customHeight="false" outlineLevel="0" collapsed="false">
      <c r="B20" s="14" t="s">
        <v>23</v>
      </c>
    </row>
    <row r="21" customFormat="false" ht="15" hidden="false" customHeight="false" outlineLevel="0" collapsed="false">
      <c r="B21" s="1" t="s">
        <v>24</v>
      </c>
      <c r="C21" s="11" t="str">
        <f aca="false">IFERROR(INDEX(B5:B10,MATCH("FULCRUM",G5:G10,0)),"-")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7" hidden="false" customHeight="false" outlineLevel="0" collapsed="false">
      <c r="B2" s="2" t="s">
        <v>25</v>
      </c>
    </row>
    <row r="3" customFormat="false" ht="15" hidden="false" customHeight="false" outlineLevel="0" collapsed="false">
      <c r="B3" s="14" t="s">
        <v>26</v>
      </c>
    </row>
    <row r="5" customFormat="false" ht="15" hidden="false" customHeight="false" outlineLevel="0" collapsed="false">
      <c r="B5" s="1" t="s">
        <v>27</v>
      </c>
      <c r="C5" s="15" t="n">
        <v>-0.4</v>
      </c>
      <c r="D5" s="15" t="n">
        <v>-0.2</v>
      </c>
      <c r="E5" s="15" t="n">
        <v>-0.1</v>
      </c>
      <c r="F5" s="15" t="n">
        <v>0</v>
      </c>
      <c r="G5" s="15" t="n">
        <v>0.1</v>
      </c>
      <c r="H5" s="15" t="n">
        <v>0.2</v>
      </c>
      <c r="I5" s="15" t="n">
        <v>0.4</v>
      </c>
    </row>
    <row r="6" customFormat="false" ht="15" hidden="false" customHeight="false" outlineLevel="0" collapsed="false">
      <c r="B6" s="1" t="s">
        <v>28</v>
      </c>
      <c r="C6" s="9" t="n">
        <f aca="false">'Recovery Waterfall'!$C$12*(1+C5)</f>
        <v>0</v>
      </c>
      <c r="D6" s="9" t="n">
        <f aca="false">'Recovery Waterfall'!$C$12*(1+D5)</f>
        <v>0</v>
      </c>
      <c r="E6" s="9" t="n">
        <f aca="false">'Recovery Waterfall'!$C$12*(1+E5)</f>
        <v>0</v>
      </c>
      <c r="F6" s="9" t="n">
        <f aca="false">'Recovery Waterfall'!$C$12*(1+F5)</f>
        <v>0</v>
      </c>
      <c r="G6" s="9" t="n">
        <f aca="false">'Recovery Waterfall'!$C$12*(1+G5)</f>
        <v>0</v>
      </c>
      <c r="H6" s="9" t="n">
        <f aca="false">'Recovery Waterfall'!$C$12*(1+H5)</f>
        <v>0</v>
      </c>
      <c r="I6" s="9" t="n">
        <f aca="false">'Recovery Waterfall'!$C$12*(1+I5)</f>
        <v>0</v>
      </c>
    </row>
    <row r="8" customFormat="false" ht="15" hidden="false" customHeight="false" outlineLevel="0" collapsed="false">
      <c r="B8" s="13" t="s">
        <v>29</v>
      </c>
    </row>
    <row r="9" customFormat="false" ht="15" hidden="false" customHeight="false" outlineLevel="0" collapsed="false">
      <c r="B9" s="16" t="str">
        <f aca="false">'Recovery Waterfall'!B5</f>
        <v>DIP / super-priority</v>
      </c>
      <c r="C9" s="10" t="str">
        <f aca="false">IFERROR(MIN(C6,'Recovery Waterfall'!$C$5)/'Recovery Waterfall'!$C$5,"-")</f>
        <v>-</v>
      </c>
      <c r="D9" s="10" t="str">
        <f aca="false">IFERROR(MIN(D6,'Recovery Waterfall'!$C$5)/'Recovery Waterfall'!$C$5,"-")</f>
        <v>-</v>
      </c>
      <c r="E9" s="10" t="str">
        <f aca="false">IFERROR(MIN(E6,'Recovery Waterfall'!$C$5)/'Recovery Waterfall'!$C$5,"-")</f>
        <v>-</v>
      </c>
      <c r="F9" s="10" t="str">
        <f aca="false">IFERROR(MIN(F6,'Recovery Waterfall'!$C$5)/'Recovery Waterfall'!$C$5,"-")</f>
        <v>-</v>
      </c>
      <c r="G9" s="10" t="str">
        <f aca="false">IFERROR(MIN(G6,'Recovery Waterfall'!$C$5)/'Recovery Waterfall'!$C$5,"-")</f>
        <v>-</v>
      </c>
      <c r="H9" s="10" t="str">
        <f aca="false">IFERROR(MIN(H6,'Recovery Waterfall'!$C$5)/'Recovery Waterfall'!$C$5,"-")</f>
        <v>-</v>
      </c>
      <c r="I9" s="10" t="str">
        <f aca="false">IFERROR(MIN(I6,'Recovery Waterfall'!$C$5)/'Recovery Waterfall'!$C$5,"-")</f>
        <v>-</v>
      </c>
    </row>
    <row r="10" customFormat="false" ht="15" hidden="false" customHeight="false" outlineLevel="0" collapsed="false">
      <c r="B10" s="16" t="str">
        <f aca="false">'Recovery Waterfall'!B6</f>
        <v>First lien secured</v>
      </c>
      <c r="C10" s="10" t="str">
        <f aca="false">IFERROR(MIN(MAX(C6-(C9*'Recovery Waterfall'!$C$5),0),'Recovery Waterfall'!$C$6)/'Recovery Waterfall'!$C$6,"-")</f>
        <v>-</v>
      </c>
      <c r="D10" s="10" t="str">
        <f aca="false">IFERROR(MIN(MAX(D6-(D9*'Recovery Waterfall'!$C$5),0),'Recovery Waterfall'!$C$6)/'Recovery Waterfall'!$C$6,"-")</f>
        <v>-</v>
      </c>
      <c r="E10" s="10" t="str">
        <f aca="false">IFERROR(MIN(MAX(E6-(E9*'Recovery Waterfall'!$C$5),0),'Recovery Waterfall'!$C$6)/'Recovery Waterfall'!$C$6,"-")</f>
        <v>-</v>
      </c>
      <c r="F10" s="10" t="str">
        <f aca="false">IFERROR(MIN(MAX(F6-(F9*'Recovery Waterfall'!$C$5),0),'Recovery Waterfall'!$C$6)/'Recovery Waterfall'!$C$6,"-")</f>
        <v>-</v>
      </c>
      <c r="G10" s="10" t="str">
        <f aca="false">IFERROR(MIN(MAX(G6-(G9*'Recovery Waterfall'!$C$5),0),'Recovery Waterfall'!$C$6)/'Recovery Waterfall'!$C$6,"-")</f>
        <v>-</v>
      </c>
      <c r="H10" s="10" t="str">
        <f aca="false">IFERROR(MIN(MAX(H6-(H9*'Recovery Waterfall'!$C$5),0),'Recovery Waterfall'!$C$6)/'Recovery Waterfall'!$C$6,"-")</f>
        <v>-</v>
      </c>
      <c r="I10" s="10" t="str">
        <f aca="false">IFERROR(MIN(MAX(I6-(I9*'Recovery Waterfall'!$C$5),0),'Recovery Waterfall'!$C$6)/'Recovery Waterfall'!$C$6,"-")</f>
        <v>-</v>
      </c>
    </row>
    <row r="11" customFormat="false" ht="15" hidden="false" customHeight="false" outlineLevel="0" collapsed="false">
      <c r="B11" s="16" t="str">
        <f aca="false">'Recovery Waterfall'!B7</f>
        <v>Second lien secured</v>
      </c>
      <c r="C11" s="10" t="str">
        <f aca="false">IFERROR(MIN(MAX(C6-(C9*'Recovery Waterfall'!$C$5+C10*'Recovery Waterfall'!$C$6),0),'Recovery Waterfall'!$C$7)/'Recovery Waterfall'!$C$7,"-")</f>
        <v>-</v>
      </c>
      <c r="D11" s="10" t="str">
        <f aca="false">IFERROR(MIN(MAX(D6-(D9*'Recovery Waterfall'!$C$5+D10*'Recovery Waterfall'!$C$6),0),'Recovery Waterfall'!$C$7)/'Recovery Waterfall'!$C$7,"-")</f>
        <v>-</v>
      </c>
      <c r="E11" s="10" t="str">
        <f aca="false">IFERROR(MIN(MAX(E6-(E9*'Recovery Waterfall'!$C$5+E10*'Recovery Waterfall'!$C$6),0),'Recovery Waterfall'!$C$7)/'Recovery Waterfall'!$C$7,"-")</f>
        <v>-</v>
      </c>
      <c r="F11" s="10" t="str">
        <f aca="false">IFERROR(MIN(MAX(F6-(F9*'Recovery Waterfall'!$C$5+F10*'Recovery Waterfall'!$C$6),0),'Recovery Waterfall'!$C$7)/'Recovery Waterfall'!$C$7,"-")</f>
        <v>-</v>
      </c>
      <c r="G11" s="10" t="str">
        <f aca="false">IFERROR(MIN(MAX(G6-(G9*'Recovery Waterfall'!$C$5+G10*'Recovery Waterfall'!$C$6),0),'Recovery Waterfall'!$C$7)/'Recovery Waterfall'!$C$7,"-")</f>
        <v>-</v>
      </c>
      <c r="H11" s="10" t="str">
        <f aca="false">IFERROR(MIN(MAX(H6-(H9*'Recovery Waterfall'!$C$5+H10*'Recovery Waterfall'!$C$6),0),'Recovery Waterfall'!$C$7)/'Recovery Waterfall'!$C$7,"-")</f>
        <v>-</v>
      </c>
      <c r="I11" s="10" t="str">
        <f aca="false">IFERROR(MIN(MAX(I6-(I9*'Recovery Waterfall'!$C$5+I10*'Recovery Waterfall'!$C$6),0),'Recovery Waterfall'!$C$7)/'Recovery Waterfall'!$C$7,"-")</f>
        <v>-</v>
      </c>
    </row>
    <row r="12" customFormat="false" ht="15" hidden="false" customHeight="false" outlineLevel="0" collapsed="false">
      <c r="B12" s="16" t="str">
        <f aca="false">'Recovery Waterfall'!B8</f>
        <v>Senior unsecured notes</v>
      </c>
      <c r="C12" s="10" t="str">
        <f aca="false">IFERROR(MIN(MAX(C6-(C9*'Recovery Waterfall'!$C$5+C10*'Recovery Waterfall'!$C$6+C11*'Recovery Waterfall'!$C$7),0),'Recovery Waterfall'!$C$8)/'Recovery Waterfall'!$C$8,"-")</f>
        <v>-</v>
      </c>
      <c r="D12" s="10" t="str">
        <f aca="false">IFERROR(MIN(MAX(D6-(D9*'Recovery Waterfall'!$C$5+D10*'Recovery Waterfall'!$C$6+D11*'Recovery Waterfall'!$C$7),0),'Recovery Waterfall'!$C$8)/'Recovery Waterfall'!$C$8,"-")</f>
        <v>-</v>
      </c>
      <c r="E12" s="10" t="str">
        <f aca="false">IFERROR(MIN(MAX(E6-(E9*'Recovery Waterfall'!$C$5+E10*'Recovery Waterfall'!$C$6+E11*'Recovery Waterfall'!$C$7),0),'Recovery Waterfall'!$C$8)/'Recovery Waterfall'!$C$8,"-")</f>
        <v>-</v>
      </c>
      <c r="F12" s="10" t="str">
        <f aca="false">IFERROR(MIN(MAX(F6-(F9*'Recovery Waterfall'!$C$5+F10*'Recovery Waterfall'!$C$6+F11*'Recovery Waterfall'!$C$7),0),'Recovery Waterfall'!$C$8)/'Recovery Waterfall'!$C$8,"-")</f>
        <v>-</v>
      </c>
      <c r="G12" s="10" t="str">
        <f aca="false">IFERROR(MIN(MAX(G6-(G9*'Recovery Waterfall'!$C$5+G10*'Recovery Waterfall'!$C$6+G11*'Recovery Waterfall'!$C$7),0),'Recovery Waterfall'!$C$8)/'Recovery Waterfall'!$C$8,"-")</f>
        <v>-</v>
      </c>
      <c r="H12" s="10" t="str">
        <f aca="false">IFERROR(MIN(MAX(H6-(H9*'Recovery Waterfall'!$C$5+H10*'Recovery Waterfall'!$C$6+H11*'Recovery Waterfall'!$C$7),0),'Recovery Waterfall'!$C$8)/'Recovery Waterfall'!$C$8,"-")</f>
        <v>-</v>
      </c>
      <c r="I12" s="10" t="str">
        <f aca="false">IFERROR(MIN(MAX(I6-(I9*'Recovery Waterfall'!$C$5+I10*'Recovery Waterfall'!$C$6+I11*'Recovery Waterfall'!$C$7),0),'Recovery Waterfall'!$C$8)/'Recovery Waterfall'!$C$8,"-")</f>
        <v>-</v>
      </c>
    </row>
    <row r="13" customFormat="false" ht="15" hidden="false" customHeight="false" outlineLevel="0" collapsed="false">
      <c r="B13" s="16" t="str">
        <f aca="false">'Recovery Waterfall'!B9</f>
        <v>Subordinated debt</v>
      </c>
      <c r="C13" s="10" t="str">
        <f aca="false">IFERROR(MIN(MAX(C6-(C9*'Recovery Waterfall'!$C$5+C10*'Recovery Waterfall'!$C$6+C11*'Recovery Waterfall'!$C$7+C12*'Recovery Waterfall'!$C$8),0),'Recovery Waterfall'!$C$9)/'Recovery Waterfall'!$C$9,"-")</f>
        <v>-</v>
      </c>
      <c r="D13" s="10" t="str">
        <f aca="false">IFERROR(MIN(MAX(D6-(D9*'Recovery Waterfall'!$C$5+D10*'Recovery Waterfall'!$C$6+D11*'Recovery Waterfall'!$C$7+D12*'Recovery Waterfall'!$C$8),0),'Recovery Waterfall'!$C$9)/'Recovery Waterfall'!$C$9,"-")</f>
        <v>-</v>
      </c>
      <c r="E13" s="10" t="str">
        <f aca="false">IFERROR(MIN(MAX(E6-(E9*'Recovery Waterfall'!$C$5+E10*'Recovery Waterfall'!$C$6+E11*'Recovery Waterfall'!$C$7+E12*'Recovery Waterfall'!$C$8),0),'Recovery Waterfall'!$C$9)/'Recovery Waterfall'!$C$9,"-")</f>
        <v>-</v>
      </c>
      <c r="F13" s="10" t="str">
        <f aca="false">IFERROR(MIN(MAX(F6-(F9*'Recovery Waterfall'!$C$5+F10*'Recovery Waterfall'!$C$6+F11*'Recovery Waterfall'!$C$7+F12*'Recovery Waterfall'!$C$8),0),'Recovery Waterfall'!$C$9)/'Recovery Waterfall'!$C$9,"-")</f>
        <v>-</v>
      </c>
      <c r="G13" s="10" t="str">
        <f aca="false">IFERROR(MIN(MAX(G6-(G9*'Recovery Waterfall'!$C$5+G10*'Recovery Waterfall'!$C$6+G11*'Recovery Waterfall'!$C$7+G12*'Recovery Waterfall'!$C$8),0),'Recovery Waterfall'!$C$9)/'Recovery Waterfall'!$C$9,"-")</f>
        <v>-</v>
      </c>
      <c r="H13" s="10" t="str">
        <f aca="false">IFERROR(MIN(MAX(H6-(H9*'Recovery Waterfall'!$C$5+H10*'Recovery Waterfall'!$C$6+H11*'Recovery Waterfall'!$C$7+H12*'Recovery Waterfall'!$C$8),0),'Recovery Waterfall'!$C$9)/'Recovery Waterfall'!$C$9,"-")</f>
        <v>-</v>
      </c>
      <c r="I13" s="10" t="str">
        <f aca="false">IFERROR(MIN(MAX(I6-(I9*'Recovery Waterfall'!$C$5+I10*'Recovery Waterfall'!$C$6+I11*'Recovery Waterfall'!$C$7+I12*'Recovery Waterfall'!$C$8),0),'Recovery Waterfall'!$C$9)/'Recovery Waterfall'!$C$9,"-")</f>
        <v>-</v>
      </c>
    </row>
    <row r="14" customFormat="false" ht="15" hidden="false" customHeight="false" outlineLevel="0" collapsed="false">
      <c r="B14" s="16" t="str">
        <f aca="false">'Recovery Waterfall'!B10</f>
        <v>Equity</v>
      </c>
      <c r="C14" s="10" t="str">
        <f aca="false">IFERROR(MIN(MAX(C6-(C9*'Recovery Waterfall'!$C$5+C10*'Recovery Waterfall'!$C$6+C11*'Recovery Waterfall'!$C$7+C12*'Recovery Waterfall'!$C$8+C13*'Recovery Waterfall'!$C$9),0),'Recovery Waterfall'!$C$10)/'Recovery Waterfall'!$C$10,"-")</f>
        <v>-</v>
      </c>
      <c r="D14" s="10" t="str">
        <f aca="false">IFERROR(MIN(MAX(D6-(D9*'Recovery Waterfall'!$C$5+D10*'Recovery Waterfall'!$C$6+D11*'Recovery Waterfall'!$C$7+D12*'Recovery Waterfall'!$C$8+D13*'Recovery Waterfall'!$C$9),0),'Recovery Waterfall'!$C$10)/'Recovery Waterfall'!$C$10,"-")</f>
        <v>-</v>
      </c>
      <c r="E14" s="10" t="str">
        <f aca="false">IFERROR(MIN(MAX(E6-(E9*'Recovery Waterfall'!$C$5+E10*'Recovery Waterfall'!$C$6+E11*'Recovery Waterfall'!$C$7+E12*'Recovery Waterfall'!$C$8+E13*'Recovery Waterfall'!$C$9),0),'Recovery Waterfall'!$C$10)/'Recovery Waterfall'!$C$10,"-")</f>
        <v>-</v>
      </c>
      <c r="F14" s="10" t="str">
        <f aca="false">IFERROR(MIN(MAX(F6-(F9*'Recovery Waterfall'!$C$5+F10*'Recovery Waterfall'!$C$6+F11*'Recovery Waterfall'!$C$7+F12*'Recovery Waterfall'!$C$8+F13*'Recovery Waterfall'!$C$9),0),'Recovery Waterfall'!$C$10)/'Recovery Waterfall'!$C$10,"-")</f>
        <v>-</v>
      </c>
      <c r="G14" s="10" t="str">
        <f aca="false">IFERROR(MIN(MAX(G6-(G9*'Recovery Waterfall'!$C$5+G10*'Recovery Waterfall'!$C$6+G11*'Recovery Waterfall'!$C$7+G12*'Recovery Waterfall'!$C$8+G13*'Recovery Waterfall'!$C$9),0),'Recovery Waterfall'!$C$10)/'Recovery Waterfall'!$C$10,"-")</f>
        <v>-</v>
      </c>
      <c r="H14" s="10" t="str">
        <f aca="false">IFERROR(MIN(MAX(H6-(H9*'Recovery Waterfall'!$C$5+H10*'Recovery Waterfall'!$C$6+H11*'Recovery Waterfall'!$C$7+H12*'Recovery Waterfall'!$C$8+H13*'Recovery Waterfall'!$C$9),0),'Recovery Waterfall'!$C$10)/'Recovery Waterfall'!$C$10,"-")</f>
        <v>-</v>
      </c>
      <c r="I14" s="10" t="str">
        <f aca="false">IFERROR(MIN(MAX(I6-(I9*'Recovery Waterfall'!$C$5+I10*'Recovery Waterfall'!$C$6+I11*'Recovery Waterfall'!$C$7+I12*'Recovery Waterfall'!$C$8+I13*'Recovery Waterfall'!$C$9),0),'Recovery Waterfall'!$C$10)/'Recovery Waterfall'!$C$10,"-")</f>
        <v>-</v>
      </c>
    </row>
    <row r="16" customFormat="false" ht="15" hidden="false" customHeight="false" outlineLevel="0" collapsed="false">
      <c r="B16" s="3" t="s">
        <v>30</v>
      </c>
      <c r="C16" s="11" t="str">
        <f aca="false">IF(AND(ISNUMBER(C9),C9&lt;1),B9,IF(AND(ISNUMBER(C10),C10&lt;1,ISNUMBER(C9),C9&gt;=1),B10,IF(AND(ISNUMBER(C11),C11&lt;1,ISNUMBER(C10),C10&gt;=1),B11,IF(AND(ISNUMBER(C12),C12&lt;1,ISNUMBER(C11),C11&gt;=1),B12,IF(AND(ISNUMBER(C13),C13&lt;1,ISNUMBER(C12),C12&gt;=1),B13,IF(AND(ISNUMBER(C14),C14&lt;1,ISNUMBER(C13),C13&gt;=1),B14,"none -- equity in the money"))))))</f>
        <v>none -- equity in the money</v>
      </c>
      <c r="D16" s="11" t="str">
        <f aca="false">IF(AND(ISNUMBER(D9),D9&lt;1),B9,IF(AND(ISNUMBER(D10),D10&lt;1,ISNUMBER(D9),D9&gt;=1),B10,IF(AND(ISNUMBER(D11),D11&lt;1,ISNUMBER(D10),D10&gt;=1),B11,IF(AND(ISNUMBER(D12),D12&lt;1,ISNUMBER(D11),D11&gt;=1),B12,IF(AND(ISNUMBER(D13),D13&lt;1,ISNUMBER(D12),D12&gt;=1),B13,IF(AND(ISNUMBER(D14),D14&lt;1,ISNUMBER(D13),D13&gt;=1),B14,"none -- equity in the money"))))))</f>
        <v>none -- equity in the money</v>
      </c>
      <c r="E16" s="11" t="str">
        <f aca="false">IF(AND(ISNUMBER(E9),E9&lt;1),B9,IF(AND(ISNUMBER(E10),E10&lt;1,ISNUMBER(E9),E9&gt;=1),B10,IF(AND(ISNUMBER(E11),E11&lt;1,ISNUMBER(E10),E10&gt;=1),B11,IF(AND(ISNUMBER(E12),E12&lt;1,ISNUMBER(E11),E11&gt;=1),B12,IF(AND(ISNUMBER(E13),E13&lt;1,ISNUMBER(E12),E12&gt;=1),B13,IF(AND(ISNUMBER(E14),E14&lt;1,ISNUMBER(E13),E13&gt;=1),B14,"none -- equity in the money"))))))</f>
        <v>none -- equity in the money</v>
      </c>
      <c r="F16" s="11" t="str">
        <f aca="false">IF(AND(ISNUMBER(F9),F9&lt;1),B9,IF(AND(ISNUMBER(F10),F10&lt;1,ISNUMBER(F9),F9&gt;=1),B10,IF(AND(ISNUMBER(F11),F11&lt;1,ISNUMBER(F10),F10&gt;=1),B11,IF(AND(ISNUMBER(F12),F12&lt;1,ISNUMBER(F11),F11&gt;=1),B12,IF(AND(ISNUMBER(F13),F13&lt;1,ISNUMBER(F12),F12&gt;=1),B13,IF(AND(ISNUMBER(F14),F14&lt;1,ISNUMBER(F13),F13&gt;=1),B14,"none -- equity in the money"))))))</f>
        <v>none -- equity in the money</v>
      </c>
      <c r="G16" s="11" t="str">
        <f aca="false">IF(AND(ISNUMBER(G9),G9&lt;1),B9,IF(AND(ISNUMBER(G10),G10&lt;1,ISNUMBER(G9),G9&gt;=1),B10,IF(AND(ISNUMBER(G11),G11&lt;1,ISNUMBER(G10),G10&gt;=1),B11,IF(AND(ISNUMBER(G12),G12&lt;1,ISNUMBER(G11),G11&gt;=1),B12,IF(AND(ISNUMBER(G13),G13&lt;1,ISNUMBER(G12),G12&gt;=1),B13,IF(AND(ISNUMBER(G14),G14&lt;1,ISNUMBER(G13),G13&gt;=1),B14,"none -- equity in the money"))))))</f>
        <v>none -- equity in the money</v>
      </c>
      <c r="H16" s="11" t="str">
        <f aca="false">IF(AND(ISNUMBER(H9),H9&lt;1),B9,IF(AND(ISNUMBER(H10),H10&lt;1,ISNUMBER(H9),H9&gt;=1),B10,IF(AND(ISNUMBER(H11),H11&lt;1,ISNUMBER(H10),H10&gt;=1),B11,IF(AND(ISNUMBER(H12),H12&lt;1,ISNUMBER(H11),H11&gt;=1),B12,IF(AND(ISNUMBER(H13),H13&lt;1,ISNUMBER(H12),H12&gt;=1),B13,IF(AND(ISNUMBER(H14),H14&lt;1,ISNUMBER(H13),H13&gt;=1),B14,"none -- equity in the money"))))))</f>
        <v>none -- equity in the money</v>
      </c>
      <c r="I16" s="11" t="str">
        <f aca="false">IF(AND(ISNUMBER(I9),I9&lt;1),B9,IF(AND(ISNUMBER(I10),I10&lt;1,ISNUMBER(I9),I9&gt;=1),B10,IF(AND(ISNUMBER(I11),I11&lt;1,ISNUMBER(I10),I10&gt;=1),B11,IF(AND(ISNUMBER(I12),I12&lt;1,ISNUMBER(I11),I11&gt;=1),B12,IF(AND(ISNUMBER(I13),I13&lt;1,ISNUMBER(I12),I12&gt;=1),B13,IF(AND(ISNUMBER(I14),I14&lt;1,ISNUMBER(I13),I13&gt;=1),B14,"none -- equity in the money"))))))</f>
        <v>none -- equity in the money</v>
      </c>
    </row>
    <row r="18" customFormat="false" ht="15" hidden="false" customHeight="false" outlineLevel="0" collapsed="false">
      <c r="B18" s="14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32</v>
      </c>
    </row>
    <row r="4" customFormat="false" ht="15" hidden="false" customHeight="false" outlineLevel="0" collapsed="false">
      <c r="C4" s="5" t="s">
        <v>33</v>
      </c>
      <c r="D4" s="5" t="s">
        <v>34</v>
      </c>
      <c r="E4" s="5" t="s">
        <v>35</v>
      </c>
    </row>
    <row r="5" customFormat="false" ht="15" hidden="false" customHeight="false" outlineLevel="0" collapsed="false">
      <c r="B5" s="1" t="s">
        <v>36</v>
      </c>
      <c r="C5" s="8" t="n">
        <v>0</v>
      </c>
      <c r="D5" s="8" t="n">
        <v>0</v>
      </c>
    </row>
    <row r="6" customFormat="false" ht="15" hidden="false" customHeight="false" outlineLevel="0" collapsed="false">
      <c r="B6" s="1" t="s">
        <v>37</v>
      </c>
      <c r="C6" s="8" t="n">
        <v>0</v>
      </c>
      <c r="D6" s="17"/>
    </row>
    <row r="7" customFormat="false" ht="15" hidden="false" customHeight="false" outlineLevel="0" collapsed="false">
      <c r="B7" s="1" t="s">
        <v>38</v>
      </c>
      <c r="C7" s="8" t="n">
        <v>0</v>
      </c>
      <c r="D7" s="8" t="n">
        <v>0</v>
      </c>
    </row>
    <row r="8" customFormat="false" ht="15" hidden="false" customHeight="false" outlineLevel="0" collapsed="false">
      <c r="B8" s="1" t="s">
        <v>39</v>
      </c>
      <c r="C8" s="18" t="n">
        <v>6</v>
      </c>
      <c r="D8" s="18" t="n">
        <v>18</v>
      </c>
    </row>
    <row r="9" customFormat="false" ht="15" hidden="false" customHeight="false" outlineLevel="0" collapsed="false">
      <c r="B9" s="1" t="s">
        <v>40</v>
      </c>
      <c r="C9" s="19" t="n">
        <v>0.15</v>
      </c>
      <c r="D9" s="17"/>
    </row>
    <row r="10" customFormat="false" ht="15" hidden="false" customHeight="false" outlineLevel="0" collapsed="false">
      <c r="C10" s="17"/>
      <c r="D10" s="17"/>
    </row>
    <row r="11" customFormat="false" ht="15" hidden="false" customHeight="false" outlineLevel="0" collapsed="false">
      <c r="B11" s="1" t="s">
        <v>41</v>
      </c>
      <c r="C11" s="9" t="n">
        <f aca="false">C5-C6-C7</f>
        <v>0</v>
      </c>
      <c r="D11" s="9" t="n">
        <f aca="false">D5-D7</f>
        <v>0</v>
      </c>
    </row>
    <row r="12" customFormat="false" ht="15" hidden="false" customHeight="false" outlineLevel="0" collapsed="false">
      <c r="B12" s="1" t="s">
        <v>42</v>
      </c>
      <c r="C12" s="20" t="n">
        <f aca="false">C11/(1+$C$9)^(C8/12)</f>
        <v>0</v>
      </c>
      <c r="D12" s="20" t="n">
        <f aca="false">D11/(1+$C$9)^(D8/12)</f>
        <v>0</v>
      </c>
      <c r="E12" s="1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44</v>
      </c>
    </row>
    <row r="3" customFormat="false" ht="15" hidden="false" customHeight="false" outlineLevel="0" collapsed="false">
      <c r="B3" s="14" t="s">
        <v>45</v>
      </c>
    </row>
    <row r="5" customFormat="false" ht="15" hidden="false" customHeight="false" outlineLevel="0" collapsed="false">
      <c r="B5" s="5" t="s">
        <v>46</v>
      </c>
      <c r="C5" s="5" t="s">
        <v>47</v>
      </c>
      <c r="D5" s="5" t="s">
        <v>48</v>
      </c>
      <c r="E5" s="5" t="s">
        <v>49</v>
      </c>
    </row>
    <row r="6" customFormat="false" ht="15" hidden="false" customHeight="false" outlineLevel="0" collapsed="false">
      <c r="B6" s="21" t="s">
        <v>50</v>
      </c>
      <c r="C6" s="21" t="s">
        <v>51</v>
      </c>
      <c r="D6" s="21" t="s">
        <v>52</v>
      </c>
      <c r="E6" s="22" t="s">
        <v>53</v>
      </c>
    </row>
    <row r="7" customFormat="false" ht="15" hidden="false" customHeight="false" outlineLevel="0" collapsed="false">
      <c r="B7" s="21" t="s">
        <v>54</v>
      </c>
      <c r="C7" s="21" t="s">
        <v>55</v>
      </c>
      <c r="D7" s="21" t="s">
        <v>56</v>
      </c>
      <c r="E7" s="22" t="s">
        <v>57</v>
      </c>
    </row>
    <row r="8" customFormat="false" ht="15" hidden="false" customHeight="false" outlineLevel="0" collapsed="false">
      <c r="B8" s="21" t="s">
        <v>58</v>
      </c>
      <c r="C8" s="21" t="s">
        <v>59</v>
      </c>
      <c r="D8" s="21" t="s">
        <v>60</v>
      </c>
      <c r="E8" s="22" t="s">
        <v>61</v>
      </c>
    </row>
    <row r="9" customFormat="false" ht="15" hidden="false" customHeight="false" outlineLevel="0" collapsed="false">
      <c r="B9" s="21" t="s">
        <v>62</v>
      </c>
      <c r="C9" s="21" t="s">
        <v>63</v>
      </c>
      <c r="D9" s="21" t="s">
        <v>64</v>
      </c>
      <c r="E9" s="2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66</v>
      </c>
    </row>
    <row r="3" customFormat="false" ht="15" hidden="false" customHeight="false" outlineLevel="0" collapsed="false">
      <c r="B3" s="14" t="s">
        <v>67</v>
      </c>
    </row>
    <row r="5" customFormat="false" ht="15" hidden="false" customHeight="false" outlineLevel="0" collapsed="false">
      <c r="B5" s="5" t="s">
        <v>68</v>
      </c>
      <c r="C5" s="5" t="s">
        <v>69</v>
      </c>
      <c r="D5" s="5" t="s">
        <v>70</v>
      </c>
    </row>
    <row r="6" customFormat="false" ht="15" hidden="false" customHeight="false" outlineLevel="0" collapsed="false">
      <c r="B6" s="21" t="s">
        <v>71</v>
      </c>
      <c r="C6" s="23" t="b">
        <f aca="false">IF('EV Sensitivity'!F16='Recovery Waterfall'!C21,TRUE(),FALSE())</f>
        <v>0</v>
      </c>
      <c r="D6" s="22" t="s">
        <v>72</v>
      </c>
    </row>
    <row r="7" customFormat="false" ht="15" hidden="false" customHeight="false" outlineLevel="0" collapsed="false">
      <c r="B7" s="21" t="s">
        <v>73</v>
      </c>
      <c r="C7" s="23" t="b">
        <f aca="false">IF(COUNTIF('EV Sensitivity'!C9:C14,"&gt;=0.9999")&lt;=COUNTIF('EV Sensitivity'!I9:I14,"&gt;=0.9999"),TRUE(),FALSE())</f>
        <v>1</v>
      </c>
      <c r="D7" s="22" t="s">
        <v>74</v>
      </c>
    </row>
    <row r="8" customFormat="false" ht="15" hidden="false" customHeight="false" outlineLevel="0" collapsed="false">
      <c r="B8" s="21" t="s">
        <v>75</v>
      </c>
      <c r="C8" s="23" t="b">
        <f aca="false">IF(COUNTIF('EV Sensitivity'!C9:I14,"&gt;1.0000001")=0,TRUE(),FALSE())</f>
        <v>1</v>
      </c>
      <c r="D8" s="22" t="s">
        <v>76</v>
      </c>
    </row>
    <row r="9" customFormat="false" ht="15" hidden="false" customHeight="false" outlineLevel="0" collapsed="false">
      <c r="B9" s="21" t="s">
        <v>77</v>
      </c>
      <c r="C9" s="23" t="b">
        <f aca="false">IF(OR(NOT(ISNUMBER('Liquidation vs Reorg'!C12)),NOT(ISNUMBER('Liquidation vs Reorg'!D12))),TRUE(),MAX('Liquidation vs Reorg'!C12,'Liquidation vs Reorg'!D12)=IF('Liquidation vs Reorg'!C12&gt;'Liquidation vs Reorg'!D12,'Liquidation vs Reorg'!C12,'Liquidation vs Reorg'!D12))</f>
        <v>1</v>
      </c>
      <c r="D9" s="2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79</v>
      </c>
    </row>
    <row r="4" customFormat="false" ht="15" hidden="false" customHeight="false" outlineLevel="0" collapsed="false">
      <c r="B4" s="5" t="s">
        <v>80</v>
      </c>
      <c r="C4" s="5" t="s">
        <v>81</v>
      </c>
      <c r="D4" s="5" t="s">
        <v>82</v>
      </c>
      <c r="E4" s="5" t="s">
        <v>83</v>
      </c>
      <c r="F4" s="5" t="s">
        <v>84</v>
      </c>
    </row>
    <row r="5" customFormat="false" ht="15" hidden="false" customHeight="false" outlineLevel="0" collapsed="false">
      <c r="B5" s="17"/>
      <c r="C5" s="17"/>
      <c r="D5" s="17"/>
      <c r="E5" s="17"/>
      <c r="F5" s="17"/>
    </row>
    <row r="6" customFormat="false" ht="15" hidden="false" customHeight="false" outlineLevel="0" collapsed="false">
      <c r="B6" s="17"/>
      <c r="C6" s="17"/>
      <c r="D6" s="17"/>
      <c r="E6" s="17"/>
      <c r="F6" s="17"/>
    </row>
    <row r="7" customFormat="false" ht="15" hidden="false" customHeight="false" outlineLevel="0" collapsed="false">
      <c r="B7" s="17"/>
      <c r="C7" s="17"/>
      <c r="D7" s="17"/>
      <c r="E7" s="17"/>
      <c r="F7" s="17"/>
    </row>
    <row r="8" customFormat="false" ht="15" hidden="false" customHeight="false" outlineLevel="0" collapsed="false">
      <c r="B8" s="17"/>
      <c r="C8" s="17"/>
      <c r="D8" s="17"/>
      <c r="E8" s="17"/>
      <c r="F8" s="17"/>
    </row>
    <row r="9" customFormat="false" ht="15" hidden="false" customHeight="false" outlineLevel="0" collapsed="false">
      <c r="B9" s="17"/>
      <c r="C9" s="17"/>
      <c r="D9" s="17"/>
      <c r="E9" s="17"/>
      <c r="F9" s="17"/>
    </row>
    <row r="10" customFormat="false" ht="15" hidden="false" customHeight="false" outlineLevel="0" collapsed="false">
      <c r="B10" s="17"/>
      <c r="C10" s="17"/>
      <c r="D10" s="17"/>
      <c r="E10" s="17"/>
      <c r="F10" s="17"/>
    </row>
    <row r="11" customFormat="false" ht="15" hidden="false" customHeight="false" outlineLevel="0" collapsed="false">
      <c r="B11" s="17"/>
      <c r="C11" s="17"/>
      <c r="D11" s="17"/>
      <c r="E11" s="17"/>
      <c r="F11" s="17"/>
    </row>
    <row r="12" customFormat="false" ht="15" hidden="false" customHeight="false" outlineLevel="0" collapsed="false">
      <c r="B12" s="17"/>
      <c r="C12" s="17"/>
      <c r="D12" s="17"/>
      <c r="E12" s="17"/>
      <c r="F12" s="17"/>
    </row>
    <row r="13" customFormat="false" ht="15" hidden="false" customHeight="false" outlineLevel="0" collapsed="false">
      <c r="B13" s="17"/>
      <c r="C13" s="17"/>
      <c r="D13" s="17"/>
      <c r="E13" s="17"/>
      <c r="F13" s="17"/>
    </row>
    <row r="14" customFormat="false" ht="15" hidden="false" customHeight="fals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2026-08-04T14:44:36Z</dcterms:created>
  <dc:creator>openpyxl</dc:creator>
  <dc:description/>
  <dc:language>en-US</dc:language>
  <cp:lastModifiedBy/>
  <dcterms:modified xsi:type="dcterms:W3CDTF">2026-08-04T14:44:36Z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