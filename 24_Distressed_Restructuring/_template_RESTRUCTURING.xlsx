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ecovery Waterfall" sheetId="2" state="visible" r:id="rId4"/>
    <sheet name="Liquidation vs Reorg" sheetId="3" state="visible" r:id="rId5"/>
    <sheet name="Refresh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<sst xmlns="http://schemas.openxmlformats.org/spreadsheetml/2006/main" count="44" uniqueCount="43">
  <si>
    <t xml:space="preserve">[COMPANY] — Distressed / Restructuring Model</t>
  </si>
  <si>
    <t xml:space="preserve">Situation type:</t>
  </si>
  <si>
    <t xml:space="preserve">Chapter 11 / Out-of-court / Chapter 7</t>
  </si>
  <si>
    <t xml:space="preserve">Petition/filing date:</t>
  </si>
  <si>
    <t xml:space="preserve">[date]</t>
  </si>
  <si>
    <t xml:space="preserve">Last refreshed:</t>
  </si>
  <si>
    <t xml:space="preserve">Refresh cadence:</t>
  </si>
  <si>
    <t xml:space="preserve">Weekly (daily near key dates)</t>
  </si>
  <si>
    <t xml:space="preserve">Capital Structure &amp; Recovery Waterfall</t>
  </si>
  <si>
    <t xml:space="preserve">Tranche</t>
  </si>
  <si>
    <t xml:space="preserve">Face claim ($)</t>
  </si>
  <si>
    <t xml:space="preserve">Seniority rank</t>
  </si>
  <si>
    <t xml:space="preserve">Recovery ($)</t>
  </si>
  <si>
    <t xml:space="preserve">Recovery %</t>
  </si>
  <si>
    <t xml:space="preserve">Fulcrum?</t>
  </si>
  <si>
    <t xml:space="preserve">DIP / super-priority</t>
  </si>
  <si>
    <t xml:space="preserve">First lien secured</t>
  </si>
  <si>
    <t xml:space="preserve">Second lien secured</t>
  </si>
  <si>
    <t xml:space="preserve">Senior unsecured notes</t>
  </si>
  <si>
    <t xml:space="preserve">Subordinated debt</t>
  </si>
  <si>
    <t xml:space="preserve">Equity</t>
  </si>
  <si>
    <t xml:space="preserve">Total enterprise value available for distribution ($)</t>
  </si>
  <si>
    <t xml:space="preserve">Waterfall (senior to junior, absolute priority)</t>
  </si>
  <si>
    <t xml:space="preserve">Fulcrum security = the tranche where recovery % first drops below 100% — that class controls the reorg (converts to new equity)</t>
  </si>
  <si>
    <t xml:space="preserve">Fulcrum security</t>
  </si>
  <si>
    <t xml:space="preserve">Liquidation (Ch. 7) vs. Reorganization (Ch. 11) NPV</t>
  </si>
  <si>
    <t xml:space="preserve">Liquidation</t>
  </si>
  <si>
    <t xml:space="preserve">Reorg</t>
  </si>
  <si>
    <t xml:space="preserve">Notes</t>
  </si>
  <si>
    <t xml:space="preserve">Gross asset value / going-concern EV</t>
  </si>
  <si>
    <t xml:space="preserve">Less: liquidation discount / distress costs</t>
  </si>
  <si>
    <t xml:space="preserve">Less: administrative/professional fees</t>
  </si>
  <si>
    <t xml:space="preserve">Time to distribution (months)</t>
  </si>
  <si>
    <t xml:space="preserve">Discount rate (annual, for NPV of delayed recovery)</t>
  </si>
  <si>
    <t xml:space="preserve">Net proceeds</t>
  </si>
  <si>
    <t xml:space="preserve">NPV of proceeds (discounted for time to distribution)</t>
  </si>
  <si>
    <t xml:space="preserve">Compare NPVs — higher wins for creditors as a class, though individual tranche outcomes differ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</si>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</sst>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;\(0.0%\);\-"/>
    <numFmt numFmtId="167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7" hidden="false" customHeight="false" outlineLevel="0" collapsed="false">
      <c r="B2" s="2" t="s">
        <v>0</v>
      </c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4" t="s">
        <v>4</v>
      </c>
    </row>
    <row r="6" customFormat="false" ht="15" hidden="false" customHeight="false" outlineLevel="0" collapsed="false">
      <c r="B6" s="3" t="s">
        <v>5</v>
      </c>
      <c r="C6" s="4" t="s">
        <v>4</v>
      </c>
    </row>
    <row r="7" customFormat="false" ht="15" hidden="false" customHeight="false" outlineLevel="0" collapsed="false">
      <c r="B7" s="3" t="s">
        <v>6</v>
      </c>
      <c r="C7" s="4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6" min="3" style="1" width="14"/>
    <col collapsed="false" customWidth="true" hidden="false" outlineLevel="0" max="7" min="7" style="1" width="16"/>
  </cols>
  <sheetData>
    <row r="2" customFormat="false" ht="19.7" hidden="false" customHeight="false" outlineLevel="0" collapsed="false">
      <c r="B2" s="2" t="s">
        <v>8</v>
      </c>
    </row>
    <row r="4" customFormat="false" ht="15" hidden="false" customHeight="false" outlineLevel="0" collapsed="false">
      <c r="A4" s="5"/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6" t="s">
        <v>14</v>
      </c>
    </row>
    <row r="5" customFormat="false" ht="15" hidden="false" customHeight="false" outlineLevel="0" collapsed="false">
      <c r="B5" s="7" t="s">
        <v>15</v>
      </c>
      <c r="C5" s="8" t="n">
        <v>0</v>
      </c>
      <c r="D5" s="4" t="n">
        <v>1</v>
      </c>
      <c r="E5" s="9" t="n">
        <f aca="false">MIN(C12,C5)</f>
        <v>0</v>
      </c>
      <c r="F5" s="10" t="str">
        <f aca="false">IFERROR(E5/C5,"-")</f>
        <v>-</v>
      </c>
      <c r="G5" s="11" t="str">
        <f aca="false">IF(AND(ISNUMBER(F5),F5&lt;1),"FULCRUM","")</f>
        <v/>
      </c>
    </row>
    <row r="6" customFormat="false" ht="15" hidden="false" customHeight="false" outlineLevel="0" collapsed="false">
      <c r="B6" s="7" t="s">
        <v>16</v>
      </c>
      <c r="C6" s="8" t="n">
        <v>0</v>
      </c>
      <c r="D6" s="4" t="n">
        <v>2</v>
      </c>
      <c r="E6" s="9" t="n">
        <f aca="false">MIN(MAX(C12-SUM(E5:E5),0),C6)</f>
        <v>0</v>
      </c>
      <c r="F6" s="10" t="str">
        <f aca="false">IFERROR(E6/C6,"-")</f>
        <v>-</v>
      </c>
      <c r="G6" s="11" t="str">
        <f aca="false">IF(AND(ISNUMBER(F6),F6&lt;1,ISNUMBER(F5),F5&gt;=1),"FULCRUM","")</f>
        <v/>
      </c>
    </row>
    <row r="7" customFormat="false" ht="15" hidden="false" customHeight="false" outlineLevel="0" collapsed="false">
      <c r="B7" s="7" t="s">
        <v>17</v>
      </c>
      <c r="C7" s="8" t="n">
        <v>0</v>
      </c>
      <c r="D7" s="4" t="n">
        <v>3</v>
      </c>
      <c r="E7" s="9" t="n">
        <f aca="false">MIN(MAX(C12-SUM(E5:E6),0),C7)</f>
        <v>0</v>
      </c>
      <c r="F7" s="10" t="str">
        <f aca="false">IFERROR(E7/C7,"-")</f>
        <v>-</v>
      </c>
      <c r="G7" s="11" t="str">
        <f aca="false">IF(AND(ISNUMBER(F7),F7&lt;1,ISNUMBER(F6),F6&gt;=1),"FULCRUM","")</f>
        <v/>
      </c>
    </row>
    <row r="8" customFormat="false" ht="15" hidden="false" customHeight="false" outlineLevel="0" collapsed="false">
      <c r="B8" s="7" t="s">
        <v>18</v>
      </c>
      <c r="C8" s="8" t="n">
        <v>0</v>
      </c>
      <c r="D8" s="4" t="n">
        <v>4</v>
      </c>
      <c r="E8" s="9" t="n">
        <f aca="false">MIN(MAX(C12-SUM(E5:E7),0),C8)</f>
        <v>0</v>
      </c>
      <c r="F8" s="10" t="str">
        <f aca="false">IFERROR(E8/C8,"-")</f>
        <v>-</v>
      </c>
      <c r="G8" s="11" t="str">
        <f aca="false">IF(AND(ISNUMBER(F8),F8&lt;1,ISNUMBER(F7),F7&gt;=1),"FULCRUM","")</f>
        <v/>
      </c>
    </row>
    <row r="9" customFormat="false" ht="15" hidden="false" customHeight="false" outlineLevel="0" collapsed="false">
      <c r="B9" s="7" t="s">
        <v>19</v>
      </c>
      <c r="C9" s="8" t="n">
        <v>0</v>
      </c>
      <c r="D9" s="4" t="n">
        <v>5</v>
      </c>
      <c r="E9" s="9" t="n">
        <f aca="false">MIN(MAX(C12-SUM(E5:E8),0),C9)</f>
        <v>0</v>
      </c>
      <c r="F9" s="10" t="str">
        <f aca="false">IFERROR(E9/C9,"-")</f>
        <v>-</v>
      </c>
      <c r="G9" s="11" t="str">
        <f aca="false">IF(AND(ISNUMBER(F9),F9&lt;1,ISNUMBER(F8),F8&gt;=1),"FULCRUM","")</f>
        <v/>
      </c>
    </row>
    <row r="10" customFormat="false" ht="15" hidden="false" customHeight="false" outlineLevel="0" collapsed="false">
      <c r="B10" s="7" t="s">
        <v>20</v>
      </c>
      <c r="C10" s="8" t="n">
        <v>0</v>
      </c>
      <c r="D10" s="4" t="n">
        <v>6</v>
      </c>
      <c r="E10" s="9" t="n">
        <f aca="false">MIN(MAX(C12-SUM(E5:E9),0),C10)</f>
        <v>0</v>
      </c>
      <c r="F10" s="10" t="str">
        <f aca="false">IFERROR(E10/C10,"-")</f>
        <v>-</v>
      </c>
      <c r="G10" s="11" t="str">
        <f aca="false">IF(AND(ISNUMBER(F10),F10&lt;1,ISNUMBER(F9),F9&gt;=1),"FULCRUM","")</f>
        <v/>
      </c>
    </row>
    <row r="12" customFormat="false" ht="15" hidden="false" customHeight="false" outlineLevel="0" collapsed="false">
      <c r="B12" s="1" t="s">
        <v>21</v>
      </c>
      <c r="C12" s="12" t="n">
        <v>0</v>
      </c>
    </row>
    <row r="14" customFormat="false" ht="15" hidden="false" customHeight="false" outlineLevel="0" collapsed="false">
      <c r="B14" s="13" t="s">
        <v>22</v>
      </c>
    </row>
    <row r="20" customFormat="false" ht="15" hidden="false" customHeight="false" outlineLevel="0" collapsed="false">
      <c r="B20" s="14" t="s">
        <v>23</v>
      </c>
    </row>
    <row r="21" customFormat="false" ht="15" hidden="false" customHeight="false" outlineLevel="0" collapsed="false">
      <c r="B21" s="1" t="s">
        <v>24</v>
      </c>
      <c r="C21" s="11" t="str">
        <f aca="false">IFERROR(INDEX(B5:B10,MATCH("FULCRUM",G5:G10,0)),"-")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4" min="3" style="1" width="16"/>
    <col collapsed="false" customWidth="true" hidden="false" outlineLevel="0" max="5" min="5" style="1" width="40"/>
  </cols>
  <sheetData>
    <row r="2" customFormat="false" ht="19.7" hidden="false" customHeight="false" outlineLevel="0" collapsed="false">
      <c r="B2" s="2" t="s">
        <v>25</v>
      </c>
    </row>
    <row r="4" customFormat="false" ht="15" hidden="false" customHeight="false" outlineLevel="0" collapsed="false">
      <c r="C4" s="5" t="s">
        <v>26</v>
      </c>
      <c r="D4" s="5" t="s">
        <v>27</v>
      </c>
      <c r="E4" s="5" t="s">
        <v>28</v>
      </c>
    </row>
    <row r="5" customFormat="false" ht="15" hidden="false" customHeight="false" outlineLevel="0" collapsed="false">
      <c r="B5" s="1" t="s">
        <v>29</v>
      </c>
      <c r="C5" s="8" t="n">
        <v>0</v>
      </c>
      <c r="D5" s="8" t="n">
        <v>0</v>
      </c>
    </row>
    <row r="6" customFormat="false" ht="15" hidden="false" customHeight="false" outlineLevel="0" collapsed="false">
      <c r="B6" s="1" t="s">
        <v>30</v>
      </c>
      <c r="C6" s="8" t="n">
        <v>0</v>
      </c>
      <c r="D6" s="15"/>
    </row>
    <row r="7" customFormat="false" ht="15" hidden="false" customHeight="false" outlineLevel="0" collapsed="false">
      <c r="B7" s="1" t="s">
        <v>31</v>
      </c>
      <c r="C7" s="8" t="n">
        <v>0</v>
      </c>
      <c r="D7" s="8" t="n">
        <v>0</v>
      </c>
    </row>
    <row r="8" customFormat="false" ht="15" hidden="false" customHeight="false" outlineLevel="0" collapsed="false">
      <c r="B8" s="1" t="s">
        <v>32</v>
      </c>
      <c r="C8" s="16" t="n">
        <v>6</v>
      </c>
      <c r="D8" s="16" t="n">
        <v>18</v>
      </c>
    </row>
    <row r="9" customFormat="false" ht="15" hidden="false" customHeight="false" outlineLevel="0" collapsed="false">
      <c r="B9" s="1" t="s">
        <v>33</v>
      </c>
      <c r="C9" s="17" t="n">
        <v>0.15</v>
      </c>
      <c r="D9" s="15"/>
    </row>
    <row r="10" customFormat="false" ht="15" hidden="false" customHeight="false" outlineLevel="0" collapsed="false">
      <c r="C10" s="15"/>
      <c r="D10" s="15"/>
    </row>
    <row r="11" customFormat="false" ht="15" hidden="false" customHeight="false" outlineLevel="0" collapsed="false">
      <c r="B11" s="1" t="s">
        <v>34</v>
      </c>
      <c r="C11" s="9" t="n">
        <f aca="false">C5-C6-C7</f>
        <v>0</v>
      </c>
      <c r="D11" s="9" t="n">
        <f aca="false">D5-D7</f>
        <v>0</v>
      </c>
    </row>
    <row r="12" customFormat="false" ht="15" hidden="false" customHeight="false" outlineLevel="0" collapsed="false">
      <c r="B12" s="1" t="s">
        <v>35</v>
      </c>
      <c r="C12" s="18" t="n">
        <f aca="false">C11/(1+$C$9)^(C8/12)</f>
        <v>0</v>
      </c>
      <c r="D12" s="18" t="n">
        <f aca="false">D11/(1+$C$9)^(D8/12)</f>
        <v>0</v>
      </c>
      <c r="E12" s="14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7" hidden="false" customHeight="false" outlineLevel="0" collapsed="false">
      <c r="B2" s="2" t="s">
        <v>37</v>
      </c>
    </row>
    <row r="4" customFormat="false" ht="15" hidden="false" customHeight="false" outlineLevel="0" collapsed="false">
      <c r="B4" s="5" t="s">
        <v>38</v>
      </c>
      <c r="C4" s="5" t="s">
        <v>39</v>
      </c>
      <c r="D4" s="5" t="s">
        <v>40</v>
      </c>
      <c r="E4" s="5" t="s">
        <v>41</v>
      </c>
      <c r="F4" s="5" t="s">
        <v>42</v>
      </c>
    </row>
    <row r="5" customFormat="false" ht="15" hidden="false" customHeight="false" outlineLevel="0" collapsed="false">
      <c r="B5" s="15"/>
      <c r="C5" s="15"/>
      <c r="D5" s="15"/>
      <c r="E5" s="15"/>
      <c r="F5" s="15"/>
    </row>
    <row r="6" customFormat="false" ht="15" hidden="false" customHeight="false" outlineLevel="0" collapsed="false">
      <c r="B6" s="15"/>
      <c r="C6" s="15"/>
      <c r="D6" s="15"/>
      <c r="E6" s="15"/>
      <c r="F6" s="15"/>
    </row>
    <row r="7" customFormat="false" ht="15" hidden="false" customHeight="false" outlineLevel="0" collapsed="false">
      <c r="B7" s="15"/>
      <c r="C7" s="15"/>
      <c r="D7" s="15"/>
      <c r="E7" s="15"/>
      <c r="F7" s="15"/>
    </row>
    <row r="8" customFormat="false" ht="15" hidden="false" customHeight="false" outlineLevel="0" collapsed="false">
      <c r="B8" s="15"/>
      <c r="C8" s="15"/>
      <c r="D8" s="15"/>
      <c r="E8" s="15"/>
      <c r="F8" s="15"/>
    </row>
    <row r="9" customFormat="false" ht="15" hidden="false" customHeight="false" outlineLevel="0" collapsed="false">
      <c r="B9" s="15"/>
      <c r="C9" s="15"/>
      <c r="D9" s="15"/>
      <c r="E9" s="15"/>
      <c r="F9" s="15"/>
    </row>
    <row r="10" customFormat="false" ht="15" hidden="false" customHeight="false" outlineLevel="0" collapsed="false">
      <c r="B10" s="15"/>
      <c r="C10" s="15"/>
      <c r="D10" s="15"/>
      <c r="E10" s="15"/>
      <c r="F10" s="15"/>
    </row>
    <row r="11" customFormat="false" ht="15" hidden="false" customHeight="false" outlineLevel="0" collapsed="false">
      <c r="B11" s="15"/>
      <c r="C11" s="15"/>
      <c r="D11" s="15"/>
      <c r="E11" s="15"/>
      <c r="F11" s="15"/>
    </row>
    <row r="12" customFormat="false" ht="15" hidden="false" customHeight="false" outlineLevel="0" collapsed="false">
      <c r="B12" s="15"/>
      <c r="C12" s="15"/>
      <c r="D12" s="15"/>
      <c r="E12" s="15"/>
      <c r="F12" s="15"/>
    </row>
    <row r="13" customFormat="false" ht="15" hidden="false" customHeight="false" outlineLevel="0" collapsed="false">
      <c r="B13" s="15"/>
      <c r="C13" s="15"/>
      <c r="D13" s="15"/>
      <c r="E13" s="15"/>
      <c r="F13" s="15"/>
    </row>
    <row r="14" customFormat="false" ht="15" hidden="false" customHeight="false" outlineLevel="0" collapsed="false">
      <c r="B14" s="15"/>
      <c r="C14" s="15"/>
      <c r="D14" s="15"/>
      <c r="E14" s="15"/>
      <c r="F14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2026-08-03T23:01:07Z</dcterms:created>
  <dc:creator>openpyxl</dc:creator>
  <dc:description/>
  <dc:language>en-US</dc:language>
  <cp:lastModifiedBy/>
  <dcterms:modified xsi:type="dcterms:W3CDTF">2026-08-03T23:01:07Z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